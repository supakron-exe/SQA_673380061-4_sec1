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ma\Downloads\"/>
    </mc:Choice>
  </mc:AlternateContent>
  <xr:revisionPtr revIDLastSave="0" documentId="13_ncr:1_{3AA1A37C-6962-4F8B-8CDA-0FFE02233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Summary" sheetId="1" r:id="rId1"/>
    <sheet name="Normal" sheetId="2" r:id="rId2"/>
    <sheet name="Robustness" sheetId="3" r:id="rId3"/>
    <sheet name="Defec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F6" i="1" s="1"/>
  <c r="E3" i="1"/>
  <c r="E6" i="1" s="1"/>
  <c r="D3" i="1"/>
  <c r="D6" i="1" s="1"/>
  <c r="C3" i="1"/>
  <c r="C6" i="1" s="1"/>
  <c r="B3" i="1"/>
  <c r="B6" i="1" s="1"/>
</calcChain>
</file>

<file path=xl/sharedStrings.xml><?xml version="1.0" encoding="utf-8"?>
<sst xmlns="http://schemas.openxmlformats.org/spreadsheetml/2006/main" count="210" uniqueCount="73">
  <si>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</si>
  <si>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</si>
  <si>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</si>
  <si>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</si>
  <si>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</si>
  <si>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</si>
  <si>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</si>
  <si>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</si>
  <si>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</si>
  <si>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</si>
  <si>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</si>
  <si>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</si>
  <si>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</si>
  <si>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</si>
  <si>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</si>
  <si>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</si>
  <si>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</si>
  <si>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</si>
  <si>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673380061-4</t>
  </si>
  <si>
    <t>min</t>
  </si>
  <si>
    <t xml:space="preserve">Test Strategy: </t>
  </si>
  <si>
    <t>Functional testing - Normal Boundary Value Testing</t>
  </si>
  <si>
    <t xml:space="preserve">Designer: </t>
  </si>
  <si>
    <t>ศุภกร กรมรินทร์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</si>
  <si>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</si>
  <si>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</si>
  <si>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</si>
  <si>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</si>
  <si>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</si>
  <si>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</si>
  <si>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</si>
  <si>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</si>
  <si>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</si>
  <si>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</si>
  <si>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</si>
  <si>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</si>
  <si>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Lab 4.2</t>
  </si>
  <si>
    <t>Functional testing - Robustness Testing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</si>
  <si>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</si>
  <si>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</si>
  <si>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</si>
  <si>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</si>
  <si>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</si>
  <si>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</si>
  <si>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</si>
  <si>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</si>
  <si>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</si>
  <si>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</si>
  <si>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</si>
  <si>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 defects found</t>
  </si>
  <si>
    <t>TC001</t>
  </si>
  <si>
    <t>Standard</t>
  </si>
  <si>
    <t>TC002</t>
  </si>
  <si>
    <t>TC003</t>
  </si>
  <si>
    <t>TC004</t>
  </si>
  <si>
    <t>TC005</t>
  </si>
  <si>
    <t>TC006</t>
  </si>
  <si>
    <t>Excellent</t>
  </si>
  <si>
    <t>TC007</t>
  </si>
  <si>
    <t>TC008</t>
  </si>
  <si>
    <t>TC009</t>
  </si>
  <si>
    <t>TC010</t>
  </si>
  <si>
    <t>TC011</t>
  </si>
  <si>
    <t>TC012</t>
  </si>
  <si>
    <t>TC013</t>
  </si>
  <si>
    <t>Poor</t>
  </si>
  <si>
    <t>IllegalArgumentException</t>
  </si>
  <si>
    <t>TC014</t>
  </si>
  <si>
    <t>TC015</t>
  </si>
  <si>
    <t>TC016</t>
  </si>
  <si>
    <t>TC017</t>
  </si>
  <si>
    <t>TC018</t>
  </si>
  <si>
    <t>TC019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</si>
</sst>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2"/>
      <color theme="1"/>
      <name val="Aptos Narrow"/>
    </font>
    <font>
      <sz val="18"/>
      <color theme="1"/>
      <name val="TH Sarabun PSK"/>
    </font>
    <font>
      <b/>
      <sz val="18"/>
      <color theme="1"/>
      <name val="TH Sarabun PSK"/>
    </font>
    <font>
      <sz val="18"/>
      <color theme="10"/>
      <name val="TH Sarabun PSK"/>
    </font>
    <font>
      <sz val="12"/>
      <name val="Aptos Narrow"/>
    </font>
    <font>
      <sz val="18"/>
      <color rgb="FF000000"/>
      <name val="TH Sarabun PSK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" fillId="6" borderId="1" xfId="0" applyFont="1" applyFill="1" applyBorder="1"/>
    <xf numFmtId="0" fontId="1" fillId="0" borderId="7" xfId="0" applyFont="1" applyBorder="1"/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/>
    <xf numFmtId="0" fontId="5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/>
    <xf numFmtId="0" fontId="2" fillId="0" borderId="7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2" sqref="C12"/>
    </sheetView>
  </sheetViews>
  <sheetFormatPr defaultColWidth="11.25" defaultRowHeight="15.75"/>
  <cols>
    <col min="1" max="1" width="33.75" customWidth="1"/>
    <col min="2" max="2" width="17.125" customWidth="1"/>
    <col min="3" max="6" width="9.125" customWidth="1"/>
    <col min="7" max="7" width="22" customWidth="1"/>
    <col min="8" max="26" width="9.125" customWidth="1"/>
  </cols>
  <sheetData>
    <row r="1" spans="1:26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.950000000000003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6" t="s">
        <v>7</v>
      </c>
      <c r="B3" s="6">
        <f>COUNTA(Normal!A9:A21)</f>
        <v>13</v>
      </c>
      <c r="C3" s="6">
        <f>COUNTIF(Normal!G9:G21,"Pass")</f>
        <v>13</v>
      </c>
      <c r="D3" s="6">
        <f>COUNTIF(Normal!G9:G21,"Fail")</f>
        <v>0</v>
      </c>
      <c r="E3" s="6">
        <f>COUNTIF(Normal!G9:G21,"No run")</f>
        <v>0</v>
      </c>
      <c r="F3" s="6">
        <f>COUNTIF(Normal!G9:G21,"Block")</f>
        <v>0</v>
      </c>
      <c r="G3" s="7" t="s">
        <v>49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6" t="s">
        <v>8</v>
      </c>
      <c r="B4" s="6">
        <f>COUNTA(Robustness!A9:A27)</f>
        <v>19</v>
      </c>
      <c r="C4" s="6">
        <f>COUNTIF(Robustness!G9:G27,"Pass")</f>
        <v>19</v>
      </c>
      <c r="D4" s="6">
        <f>COUNTIF(Robustness!G9:G27,"Fail")</f>
        <v>0</v>
      </c>
      <c r="E4" s="6">
        <f>COUNTIF(Robustness!G9:G27,"No run")</f>
        <v>0</v>
      </c>
      <c r="F4" s="6">
        <f>COUNTIF(Robustness!G9:G27,"Block")</f>
        <v>0</v>
      </c>
      <c r="G4" s="6" t="s">
        <v>49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8"/>
      <c r="B5" s="6"/>
      <c r="C5" s="6"/>
      <c r="D5" s="6"/>
      <c r="E5" s="6"/>
      <c r="F5" s="6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9" t="s">
        <v>9</v>
      </c>
      <c r="B6" s="6">
        <f>SUM(B3:B4)</f>
        <v>32</v>
      </c>
      <c r="C6" s="23">
        <f>SUM(C3:C4)</f>
        <v>32</v>
      </c>
      <c r="D6" s="24">
        <f>SUM(D3:D4)</f>
        <v>0</v>
      </c>
      <c r="E6" s="6">
        <f>SUM(E3:E4)</f>
        <v>0</v>
      </c>
      <c r="F6" s="6">
        <f>SUM(F3:F4)</f>
        <v>0</v>
      </c>
      <c r="G6" s="7" t="s">
        <v>49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5" sqref="G5"/>
    </sheetView>
  </sheetViews>
  <sheetFormatPr defaultColWidth="11.25" defaultRowHeight="15.75"/>
  <cols>
    <col min="1" max="1" width="20.5" customWidth="1"/>
    <col min="2" max="4" width="21.375" customWidth="1"/>
    <col min="5" max="5" width="23.5" customWidth="1"/>
    <col min="6" max="6" width="20.125" customWidth="1"/>
    <col min="7" max="7" width="25.125" customWidth="1"/>
    <col min="8" max="10" width="10.75" customWidth="1"/>
    <col min="11" max="11" width="15.375" customWidth="1"/>
    <col min="12" max="12" width="10.75" customWidth="1"/>
    <col min="13" max="13" width="16.5" customWidth="1"/>
    <col min="14" max="26" width="10.5" customWidth="1"/>
  </cols>
  <sheetData>
    <row r="1" spans="1:26" ht="27" customHeight="1">
      <c r="A1" s="28" t="s">
        <v>10</v>
      </c>
      <c r="B1" s="29"/>
      <c r="C1" s="29"/>
      <c r="D1" s="29"/>
      <c r="E1" s="29"/>
      <c r="F1" s="29"/>
      <c r="G1" s="30"/>
      <c r="H1" s="1"/>
      <c r="I1" s="1"/>
      <c r="J1" s="10"/>
      <c r="K1" s="11" t="s">
        <v>11</v>
      </c>
      <c r="L1" s="11" t="s">
        <v>12</v>
      </c>
      <c r="M1" s="1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1"/>
      <c r="B2" s="1"/>
      <c r="C2" s="1"/>
      <c r="D2" s="1"/>
      <c r="E2" s="1"/>
      <c r="F2" s="1"/>
      <c r="G2" s="12"/>
      <c r="H2" s="1"/>
      <c r="I2" s="1"/>
      <c r="J2" s="6" t="s">
        <v>14</v>
      </c>
      <c r="K2" s="8">
        <v>24</v>
      </c>
      <c r="L2" s="8">
        <v>39</v>
      </c>
      <c r="M2" s="8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13" t="s">
        <v>15</v>
      </c>
      <c r="B3" s="31" t="s">
        <v>16</v>
      </c>
      <c r="C3" s="29"/>
      <c r="D3" s="29"/>
      <c r="E3" s="29"/>
      <c r="F3" s="13" t="s">
        <v>17</v>
      </c>
      <c r="G3" s="8" t="s">
        <v>18</v>
      </c>
      <c r="H3" s="1"/>
      <c r="I3" s="1"/>
      <c r="J3" s="6" t="s">
        <v>19</v>
      </c>
      <c r="K3" s="8">
        <v>25</v>
      </c>
      <c r="L3" s="8">
        <v>40</v>
      </c>
      <c r="M3" s="8">
        <v>12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3" t="s">
        <v>20</v>
      </c>
      <c r="B4" s="31" t="s">
        <v>21</v>
      </c>
      <c r="C4" s="29"/>
      <c r="D4" s="29"/>
      <c r="E4" s="29"/>
      <c r="F4" s="13" t="s">
        <v>22</v>
      </c>
      <c r="G4" s="8" t="s">
        <v>23</v>
      </c>
      <c r="H4" s="1"/>
      <c r="I4" s="1"/>
      <c r="J4" s="6" t="s">
        <v>24</v>
      </c>
      <c r="K4" s="8">
        <v>26</v>
      </c>
      <c r="L4" s="8">
        <v>41</v>
      </c>
      <c r="M4" s="8">
        <v>13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4" t="s">
        <v>25</v>
      </c>
      <c r="B5" s="32"/>
      <c r="C5" s="29"/>
      <c r="D5" s="29"/>
      <c r="E5" s="30"/>
      <c r="F5" s="13" t="s">
        <v>26</v>
      </c>
      <c r="G5" s="21"/>
      <c r="H5" s="1"/>
      <c r="I5" s="1"/>
      <c r="J5" s="6" t="s">
        <v>27</v>
      </c>
      <c r="K5" s="8">
        <v>42</v>
      </c>
      <c r="L5" s="8">
        <v>130</v>
      </c>
      <c r="M5" s="8">
        <v>21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1"/>
      <c r="D6" s="1"/>
      <c r="E6" s="1"/>
      <c r="F6" s="1"/>
      <c r="G6" s="1"/>
      <c r="H6" s="1"/>
      <c r="I6" s="1"/>
      <c r="J6" s="6" t="s">
        <v>28</v>
      </c>
      <c r="K6" s="8">
        <v>59</v>
      </c>
      <c r="L6" s="8">
        <v>219</v>
      </c>
      <c r="M6" s="8">
        <v>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25" t="s">
        <v>29</v>
      </c>
      <c r="B7" s="32" t="s">
        <v>30</v>
      </c>
      <c r="C7" s="29"/>
      <c r="D7" s="30"/>
      <c r="E7" s="25" t="s">
        <v>31</v>
      </c>
      <c r="F7" s="25" t="s">
        <v>32</v>
      </c>
      <c r="G7" s="27" t="s">
        <v>33</v>
      </c>
      <c r="H7" s="1"/>
      <c r="I7" s="1"/>
      <c r="J7" s="6" t="s">
        <v>34</v>
      </c>
      <c r="K7" s="8">
        <v>60</v>
      </c>
      <c r="L7" s="8">
        <v>220</v>
      </c>
      <c r="M7" s="8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26"/>
      <c r="B8" s="11" t="s">
        <v>11</v>
      </c>
      <c r="C8" s="11" t="s">
        <v>12</v>
      </c>
      <c r="D8" s="11" t="s">
        <v>13</v>
      </c>
      <c r="E8" s="26"/>
      <c r="F8" s="26"/>
      <c r="G8" s="26"/>
      <c r="H8" s="1"/>
      <c r="I8" s="1"/>
      <c r="J8" s="6" t="s">
        <v>35</v>
      </c>
      <c r="K8" s="8">
        <v>61</v>
      </c>
      <c r="L8" s="8">
        <v>221</v>
      </c>
      <c r="M8" s="8">
        <v>31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8" t="s">
        <v>50</v>
      </c>
      <c r="B9" s="15">
        <v>42</v>
      </c>
      <c r="C9" s="15">
        <v>130</v>
      </c>
      <c r="D9" s="15">
        <v>21</v>
      </c>
      <c r="E9" s="8" t="s">
        <v>51</v>
      </c>
      <c r="F9" s="8" t="s">
        <v>51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8" t="s">
        <v>52</v>
      </c>
      <c r="B10" s="15">
        <v>25</v>
      </c>
      <c r="C10" s="15">
        <v>130</v>
      </c>
      <c r="D10" s="15">
        <v>21</v>
      </c>
      <c r="E10" s="8" t="s">
        <v>51</v>
      </c>
      <c r="F10" s="8" t="s">
        <v>51</v>
      </c>
      <c r="G10" s="8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8" t="s">
        <v>53</v>
      </c>
      <c r="B11" s="15">
        <v>26</v>
      </c>
      <c r="C11" s="15">
        <v>130</v>
      </c>
      <c r="D11" s="15">
        <v>21</v>
      </c>
      <c r="E11" s="8" t="s">
        <v>51</v>
      </c>
      <c r="F11" s="8" t="s">
        <v>51</v>
      </c>
      <c r="G11" s="8" t="s">
        <v>2</v>
      </c>
      <c r="H11" s="1"/>
      <c r="I11" s="1"/>
      <c r="J11" s="10"/>
      <c r="K11" s="10"/>
      <c r="L11" s="10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8" t="s">
        <v>54</v>
      </c>
      <c r="B12" s="15">
        <v>59</v>
      </c>
      <c r="C12" s="15">
        <v>130</v>
      </c>
      <c r="D12" s="15">
        <v>21</v>
      </c>
      <c r="E12" s="8" t="s">
        <v>51</v>
      </c>
      <c r="F12" s="8" t="s">
        <v>51</v>
      </c>
      <c r="G12" s="8" t="s">
        <v>2</v>
      </c>
      <c r="H12" s="1"/>
      <c r="I12" s="1"/>
      <c r="J12" s="10"/>
      <c r="K12" s="10"/>
      <c r="L12" s="10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8" t="s">
        <v>55</v>
      </c>
      <c r="B13" s="15">
        <v>60</v>
      </c>
      <c r="C13" s="15">
        <v>130</v>
      </c>
      <c r="D13" s="15">
        <v>21</v>
      </c>
      <c r="E13" s="8" t="s">
        <v>51</v>
      </c>
      <c r="F13" s="8" t="s">
        <v>51</v>
      </c>
      <c r="G13" s="8" t="s">
        <v>2</v>
      </c>
      <c r="H13" s="1"/>
      <c r="I13" s="1"/>
      <c r="J13" s="10"/>
      <c r="K13" s="10"/>
      <c r="L13" s="10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8" t="s">
        <v>56</v>
      </c>
      <c r="B14" s="15">
        <v>42</v>
      </c>
      <c r="C14" s="15">
        <v>40</v>
      </c>
      <c r="D14" s="15">
        <v>21</v>
      </c>
      <c r="E14" s="8" t="s">
        <v>57</v>
      </c>
      <c r="F14" s="8" t="s">
        <v>57</v>
      </c>
      <c r="G14" s="8" t="s">
        <v>2</v>
      </c>
      <c r="H14" s="1"/>
      <c r="I14" s="1"/>
      <c r="J14" s="10"/>
      <c r="K14" s="10"/>
      <c r="L14" s="10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8" t="s">
        <v>58</v>
      </c>
      <c r="B15" s="15">
        <v>42</v>
      </c>
      <c r="C15" s="15">
        <v>41</v>
      </c>
      <c r="D15" s="15">
        <v>21</v>
      </c>
      <c r="E15" s="8" t="s">
        <v>57</v>
      </c>
      <c r="F15" s="8" t="s">
        <v>57</v>
      </c>
      <c r="G15" s="8" t="s">
        <v>2</v>
      </c>
      <c r="H15" s="1"/>
      <c r="I15" s="1"/>
      <c r="J15" s="10"/>
      <c r="K15" s="10"/>
      <c r="L15" s="10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8" t="s">
        <v>59</v>
      </c>
      <c r="B16" s="15">
        <v>42</v>
      </c>
      <c r="C16" s="15">
        <v>219</v>
      </c>
      <c r="D16" s="15">
        <v>21</v>
      </c>
      <c r="E16" s="8" t="s">
        <v>51</v>
      </c>
      <c r="F16" s="8" t="s">
        <v>51</v>
      </c>
      <c r="G16" s="8" t="s">
        <v>2</v>
      </c>
      <c r="H16" s="1"/>
      <c r="I16" s="1"/>
      <c r="J16" s="10"/>
      <c r="K16" s="10"/>
      <c r="L16" s="10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8" t="s">
        <v>60</v>
      </c>
      <c r="B17" s="15">
        <v>42</v>
      </c>
      <c r="C17" s="15">
        <v>220</v>
      </c>
      <c r="D17" s="15">
        <v>21</v>
      </c>
      <c r="E17" s="8" t="s">
        <v>51</v>
      </c>
      <c r="F17" s="8" t="s">
        <v>51</v>
      </c>
      <c r="G17" s="8" t="s">
        <v>2</v>
      </c>
      <c r="H17" s="1"/>
      <c r="I17" s="1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8" t="s">
        <v>61</v>
      </c>
      <c r="B18" s="15">
        <v>42</v>
      </c>
      <c r="C18" s="15">
        <v>130</v>
      </c>
      <c r="D18" s="15">
        <v>12</v>
      </c>
      <c r="E18" s="8" t="s">
        <v>51</v>
      </c>
      <c r="F18" s="8" t="s">
        <v>51</v>
      </c>
      <c r="G18" s="8" t="s">
        <v>2</v>
      </c>
      <c r="H18" s="1"/>
      <c r="I18" s="1"/>
      <c r="J18" s="10"/>
      <c r="K18" s="10"/>
      <c r="L18" s="10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8" t="s">
        <v>62</v>
      </c>
      <c r="B19" s="15">
        <v>42</v>
      </c>
      <c r="C19" s="15">
        <v>130</v>
      </c>
      <c r="D19" s="15">
        <v>13</v>
      </c>
      <c r="E19" s="8" t="s">
        <v>51</v>
      </c>
      <c r="F19" s="8" t="s">
        <v>51</v>
      </c>
      <c r="G19" s="8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8" t="s">
        <v>63</v>
      </c>
      <c r="B20" s="15">
        <v>42</v>
      </c>
      <c r="C20" s="15">
        <v>130</v>
      </c>
      <c r="D20" s="15">
        <v>29</v>
      </c>
      <c r="E20" s="8" t="s">
        <v>51</v>
      </c>
      <c r="F20" s="8" t="s">
        <v>51</v>
      </c>
      <c r="G20" s="8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8" t="s">
        <v>64</v>
      </c>
      <c r="B21" s="15">
        <v>42</v>
      </c>
      <c r="C21" s="15">
        <v>130</v>
      </c>
      <c r="D21" s="15">
        <v>30</v>
      </c>
      <c r="E21" s="8" t="s">
        <v>51</v>
      </c>
      <c r="F21" s="8" t="s">
        <v>51</v>
      </c>
      <c r="G21" s="8" t="s">
        <v>2</v>
      </c>
      <c r="H21" s="1"/>
      <c r="I21" s="1"/>
      <c r="J21" s="10"/>
      <c r="K21" s="10"/>
      <c r="L21" s="10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0"/>
      <c r="K23" s="10"/>
      <c r="L23" s="10"/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0"/>
      <c r="K24" s="10"/>
      <c r="L24" s="10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0"/>
      <c r="K25" s="10"/>
      <c r="L25" s="10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0"/>
      <c r="K26" s="10"/>
      <c r="L26" s="10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0"/>
      <c r="K28" s="10"/>
      <c r="L28" s="10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5" sqref="G5"/>
    </sheetView>
  </sheetViews>
  <sheetFormatPr defaultColWidth="11.25" defaultRowHeight="15.75"/>
  <cols>
    <col min="1" max="1" width="20.5" customWidth="1"/>
    <col min="2" max="4" width="21.375" customWidth="1"/>
    <col min="5" max="6" width="31" customWidth="1"/>
    <col min="7" max="7" width="25.125" customWidth="1"/>
    <col min="8" max="10" width="10.75" customWidth="1"/>
    <col min="11" max="11" width="15.375" customWidth="1"/>
    <col min="12" max="12" width="10.75" customWidth="1"/>
    <col min="13" max="13" width="16.5" customWidth="1"/>
    <col min="14" max="26" width="10.5" customWidth="1"/>
  </cols>
  <sheetData>
    <row r="1" spans="1:26" ht="27" customHeight="1">
      <c r="A1" s="28" t="s">
        <v>10</v>
      </c>
      <c r="B1" s="29"/>
      <c r="C1" s="29"/>
      <c r="D1" s="29"/>
      <c r="E1" s="29"/>
      <c r="F1" s="29"/>
      <c r="G1" s="30"/>
      <c r="H1" s="1"/>
      <c r="I1" s="1"/>
      <c r="J1" s="10"/>
      <c r="K1" s="11" t="s">
        <v>11</v>
      </c>
      <c r="L1" s="11" t="s">
        <v>12</v>
      </c>
      <c r="M1" s="1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1"/>
      <c r="B2" s="1"/>
      <c r="C2" s="1"/>
      <c r="D2" s="1"/>
      <c r="E2" s="1"/>
      <c r="F2" s="1"/>
      <c r="G2" s="12"/>
      <c r="H2" s="1"/>
      <c r="I2" s="1"/>
      <c r="J2" s="6" t="s">
        <v>14</v>
      </c>
      <c r="K2" s="8">
        <v>24</v>
      </c>
      <c r="L2" s="8">
        <v>39</v>
      </c>
      <c r="M2" s="8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13" t="s">
        <v>15</v>
      </c>
      <c r="B3" s="31" t="s">
        <v>36</v>
      </c>
      <c r="C3" s="29"/>
      <c r="D3" s="29"/>
      <c r="E3" s="29"/>
      <c r="F3" s="13" t="s">
        <v>17</v>
      </c>
      <c r="G3" s="8" t="s">
        <v>18</v>
      </c>
      <c r="H3" s="1"/>
      <c r="I3" s="1"/>
      <c r="J3" s="6" t="s">
        <v>19</v>
      </c>
      <c r="K3" s="8">
        <v>25</v>
      </c>
      <c r="L3" s="8">
        <v>40</v>
      </c>
      <c r="M3" s="8">
        <v>12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3" t="s">
        <v>20</v>
      </c>
      <c r="B4" s="31" t="s">
        <v>37</v>
      </c>
      <c r="C4" s="29"/>
      <c r="D4" s="29"/>
      <c r="E4" s="29"/>
      <c r="F4" s="13" t="s">
        <v>22</v>
      </c>
      <c r="G4" s="8" t="s">
        <v>23</v>
      </c>
      <c r="H4" s="1"/>
      <c r="I4" s="1"/>
      <c r="J4" s="6" t="s">
        <v>24</v>
      </c>
      <c r="K4" s="8">
        <v>26</v>
      </c>
      <c r="L4" s="8">
        <v>41</v>
      </c>
      <c r="M4" s="8">
        <v>13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4" t="s">
        <v>25</v>
      </c>
      <c r="B5" s="32"/>
      <c r="C5" s="29"/>
      <c r="D5" s="29"/>
      <c r="E5" s="30"/>
      <c r="F5" s="13" t="s">
        <v>26</v>
      </c>
      <c r="G5" s="21"/>
      <c r="H5" s="1"/>
      <c r="I5" s="1"/>
      <c r="J5" s="6" t="s">
        <v>27</v>
      </c>
      <c r="K5" s="8">
        <v>42</v>
      </c>
      <c r="L5" s="8">
        <v>130</v>
      </c>
      <c r="M5" s="8">
        <v>21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1"/>
      <c r="D6" s="1"/>
      <c r="E6" s="1"/>
      <c r="F6" s="1"/>
      <c r="G6" s="1"/>
      <c r="H6" s="1"/>
      <c r="I6" s="1"/>
      <c r="J6" s="6" t="s">
        <v>28</v>
      </c>
      <c r="K6" s="8">
        <v>59</v>
      </c>
      <c r="L6" s="8">
        <v>219</v>
      </c>
      <c r="M6" s="8">
        <v>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25" t="s">
        <v>29</v>
      </c>
      <c r="B7" s="32" t="s">
        <v>30</v>
      </c>
      <c r="C7" s="29"/>
      <c r="D7" s="30"/>
      <c r="E7" s="25" t="s">
        <v>31</v>
      </c>
      <c r="F7" s="25" t="s">
        <v>32</v>
      </c>
      <c r="G7" s="27" t="s">
        <v>33</v>
      </c>
      <c r="H7" s="1"/>
      <c r="I7" s="1"/>
      <c r="J7" s="6" t="s">
        <v>34</v>
      </c>
      <c r="K7" s="8">
        <v>60</v>
      </c>
      <c r="L7" s="8">
        <v>220</v>
      </c>
      <c r="M7" s="8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26"/>
      <c r="B8" s="11" t="s">
        <v>11</v>
      </c>
      <c r="C8" s="11" t="s">
        <v>12</v>
      </c>
      <c r="D8" s="11" t="s">
        <v>13</v>
      </c>
      <c r="E8" s="26"/>
      <c r="F8" s="26"/>
      <c r="G8" s="26"/>
      <c r="H8" s="1"/>
      <c r="I8" s="1"/>
      <c r="J8" s="6" t="s">
        <v>35</v>
      </c>
      <c r="K8" s="8">
        <v>61</v>
      </c>
      <c r="L8" s="8">
        <v>221</v>
      </c>
      <c r="M8" s="8">
        <v>31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8" t="s">
        <v>50</v>
      </c>
      <c r="B9" s="8">
        <v>42</v>
      </c>
      <c r="C9" s="8">
        <v>130</v>
      </c>
      <c r="D9" s="8">
        <v>21</v>
      </c>
      <c r="E9" s="22" t="s">
        <v>51</v>
      </c>
      <c r="F9" s="8" t="s">
        <v>51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8" t="s">
        <v>52</v>
      </c>
      <c r="B10" s="8">
        <v>24</v>
      </c>
      <c r="C10" s="8">
        <v>130</v>
      </c>
      <c r="D10" s="8">
        <v>21</v>
      </c>
      <c r="E10" s="8" t="s">
        <v>65</v>
      </c>
      <c r="F10" s="8" t="s">
        <v>65</v>
      </c>
      <c r="G10" s="8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8" t="s">
        <v>53</v>
      </c>
      <c r="B11" s="8">
        <v>25</v>
      </c>
      <c r="C11" s="8">
        <v>130</v>
      </c>
      <c r="D11" s="8">
        <v>21</v>
      </c>
      <c r="E11" s="8" t="s">
        <v>51</v>
      </c>
      <c r="F11" s="8" t="s">
        <v>51</v>
      </c>
      <c r="G11" s="8" t="s">
        <v>2</v>
      </c>
      <c r="H11" s="1"/>
      <c r="I11" s="1"/>
      <c r="J11" s="10"/>
      <c r="K11" s="10"/>
      <c r="L11" s="10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8" t="s">
        <v>54</v>
      </c>
      <c r="B12" s="8">
        <v>26</v>
      </c>
      <c r="C12" s="8">
        <v>130</v>
      </c>
      <c r="D12" s="8">
        <v>21</v>
      </c>
      <c r="E12" s="8" t="s">
        <v>51</v>
      </c>
      <c r="F12" s="8" t="s">
        <v>51</v>
      </c>
      <c r="G12" s="8" t="s">
        <v>2</v>
      </c>
      <c r="H12" s="1"/>
      <c r="I12" s="1"/>
      <c r="J12" s="10"/>
      <c r="K12" s="10"/>
      <c r="L12" s="10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8" t="s">
        <v>55</v>
      </c>
      <c r="B13" s="8">
        <v>59</v>
      </c>
      <c r="C13" s="8">
        <v>130</v>
      </c>
      <c r="D13" s="8">
        <v>21</v>
      </c>
      <c r="E13" s="8" t="s">
        <v>51</v>
      </c>
      <c r="F13" s="8" t="s">
        <v>51</v>
      </c>
      <c r="G13" s="8" t="s">
        <v>2</v>
      </c>
      <c r="H13" s="1"/>
      <c r="I13" s="1"/>
      <c r="J13" s="10"/>
      <c r="K13" s="10"/>
      <c r="L13" s="10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8" t="s">
        <v>56</v>
      </c>
      <c r="B14" s="8">
        <v>60</v>
      </c>
      <c r="C14" s="8">
        <v>130</v>
      </c>
      <c r="D14" s="8">
        <v>21</v>
      </c>
      <c r="E14" s="8" t="s">
        <v>51</v>
      </c>
      <c r="F14" s="8" t="s">
        <v>51</v>
      </c>
      <c r="G14" s="8" t="s">
        <v>2</v>
      </c>
      <c r="H14" s="1"/>
      <c r="I14" s="1"/>
      <c r="J14" s="10"/>
      <c r="K14" s="10"/>
      <c r="L14" s="10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8" t="s">
        <v>58</v>
      </c>
      <c r="B15" s="8">
        <v>61</v>
      </c>
      <c r="C15" s="8">
        <v>130</v>
      </c>
      <c r="D15" s="8">
        <v>21</v>
      </c>
      <c r="E15" s="8" t="s">
        <v>51</v>
      </c>
      <c r="F15" s="8" t="s">
        <v>51</v>
      </c>
      <c r="G15" s="8" t="s">
        <v>2</v>
      </c>
      <c r="H15" s="1"/>
      <c r="I15" s="1"/>
      <c r="J15" s="10"/>
      <c r="K15" s="10"/>
      <c r="L15" s="10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8" t="s">
        <v>59</v>
      </c>
      <c r="B16" s="8">
        <v>42</v>
      </c>
      <c r="C16" s="8">
        <v>39</v>
      </c>
      <c r="D16" s="8">
        <v>21</v>
      </c>
      <c r="E16" s="8" t="s">
        <v>66</v>
      </c>
      <c r="F16" s="8" t="s">
        <v>66</v>
      </c>
      <c r="G16" s="8" t="s">
        <v>2</v>
      </c>
      <c r="H16" s="1"/>
      <c r="I16" s="1"/>
      <c r="J16" s="10"/>
      <c r="K16" s="10"/>
      <c r="L16" s="10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8" t="s">
        <v>60</v>
      </c>
      <c r="B17" s="8">
        <v>42</v>
      </c>
      <c r="C17" s="8">
        <v>40</v>
      </c>
      <c r="D17" s="8">
        <v>21</v>
      </c>
      <c r="E17" s="8" t="s">
        <v>57</v>
      </c>
      <c r="F17" s="8" t="s">
        <v>57</v>
      </c>
      <c r="G17" s="8" t="s">
        <v>2</v>
      </c>
      <c r="H17" s="1"/>
      <c r="I17" s="1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8" t="s">
        <v>61</v>
      </c>
      <c r="B18" s="8">
        <v>42</v>
      </c>
      <c r="C18" s="8">
        <v>41</v>
      </c>
      <c r="D18" s="8">
        <v>21</v>
      </c>
      <c r="E18" s="8" t="s">
        <v>57</v>
      </c>
      <c r="F18" s="8" t="s">
        <v>57</v>
      </c>
      <c r="G18" s="8" t="s">
        <v>2</v>
      </c>
      <c r="H18" s="1"/>
      <c r="I18" s="1"/>
      <c r="J18" s="10"/>
      <c r="K18" s="10"/>
      <c r="L18" s="10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8" t="s">
        <v>62</v>
      </c>
      <c r="B19" s="8">
        <v>42</v>
      </c>
      <c r="C19" s="8">
        <v>219</v>
      </c>
      <c r="D19" s="8">
        <v>21</v>
      </c>
      <c r="E19" s="8" t="s">
        <v>51</v>
      </c>
      <c r="F19" s="8" t="s">
        <v>51</v>
      </c>
      <c r="G19" s="8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8" t="s">
        <v>63</v>
      </c>
      <c r="B20" s="8">
        <v>42</v>
      </c>
      <c r="C20" s="8">
        <v>220</v>
      </c>
      <c r="D20" s="8">
        <v>21</v>
      </c>
      <c r="E20" s="8" t="s">
        <v>51</v>
      </c>
      <c r="F20" s="8" t="s">
        <v>51</v>
      </c>
      <c r="G20" s="8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6" t="s">
        <v>64</v>
      </c>
      <c r="B21" s="16">
        <v>42</v>
      </c>
      <c r="C21" s="16">
        <v>221</v>
      </c>
      <c r="D21" s="16">
        <v>21</v>
      </c>
      <c r="E21" s="8" t="s">
        <v>66</v>
      </c>
      <c r="F21" s="8" t="s">
        <v>66</v>
      </c>
      <c r="G21" s="8" t="s">
        <v>2</v>
      </c>
      <c r="H21" s="1"/>
      <c r="I21" s="1"/>
      <c r="J21" s="10"/>
      <c r="K21" s="10"/>
      <c r="L21" s="10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8" t="s">
        <v>67</v>
      </c>
      <c r="B22" s="8">
        <v>42</v>
      </c>
      <c r="C22" s="8">
        <v>130</v>
      </c>
      <c r="D22" s="8">
        <v>11</v>
      </c>
      <c r="E22" s="8" t="s">
        <v>65</v>
      </c>
      <c r="F22" s="8" t="s">
        <v>65</v>
      </c>
      <c r="G22" s="8" t="s">
        <v>2</v>
      </c>
      <c r="H22" s="1"/>
      <c r="I22" s="1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8" t="s">
        <v>68</v>
      </c>
      <c r="B23" s="8">
        <v>42</v>
      </c>
      <c r="C23" s="8">
        <v>130</v>
      </c>
      <c r="D23" s="8">
        <v>12</v>
      </c>
      <c r="E23" s="8" t="s">
        <v>51</v>
      </c>
      <c r="F23" s="8" t="s">
        <v>51</v>
      </c>
      <c r="G23" s="8" t="s">
        <v>2</v>
      </c>
      <c r="H23" s="1"/>
      <c r="I23" s="1"/>
      <c r="J23" s="10"/>
      <c r="K23" s="10"/>
      <c r="L23" s="10"/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8" t="s">
        <v>69</v>
      </c>
      <c r="B24" s="8">
        <v>42</v>
      </c>
      <c r="C24" s="8">
        <v>130</v>
      </c>
      <c r="D24" s="8">
        <v>13</v>
      </c>
      <c r="E24" s="8" t="s">
        <v>51</v>
      </c>
      <c r="F24" s="8" t="s">
        <v>51</v>
      </c>
      <c r="G24" s="8" t="s">
        <v>2</v>
      </c>
      <c r="H24" s="1"/>
      <c r="I24" s="1"/>
      <c r="J24" s="10"/>
      <c r="K24" s="10"/>
      <c r="L24" s="10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8" t="s">
        <v>70</v>
      </c>
      <c r="B25" s="8">
        <v>42</v>
      </c>
      <c r="C25" s="8">
        <v>130</v>
      </c>
      <c r="D25" s="8">
        <v>29</v>
      </c>
      <c r="E25" s="8" t="s">
        <v>51</v>
      </c>
      <c r="F25" s="8" t="s">
        <v>51</v>
      </c>
      <c r="G25" s="8" t="s">
        <v>2</v>
      </c>
      <c r="H25" s="1"/>
      <c r="I25" s="1"/>
      <c r="J25" s="10"/>
      <c r="K25" s="10"/>
      <c r="L25" s="10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8" t="s">
        <v>71</v>
      </c>
      <c r="B26" s="8">
        <v>42</v>
      </c>
      <c r="C26" s="8">
        <v>130</v>
      </c>
      <c r="D26" s="8">
        <v>30</v>
      </c>
      <c r="E26" s="8" t="s">
        <v>51</v>
      </c>
      <c r="F26" s="8" t="s">
        <v>51</v>
      </c>
      <c r="G26" s="8" t="s">
        <v>2</v>
      </c>
      <c r="H26" s="1"/>
      <c r="I26" s="1"/>
      <c r="J26" s="10"/>
      <c r="K26" s="10"/>
      <c r="L26" s="10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8" t="s">
        <v>72</v>
      </c>
      <c r="B27" s="8">
        <v>42</v>
      </c>
      <c r="C27" s="8">
        <v>130</v>
      </c>
      <c r="D27" s="8">
        <v>31</v>
      </c>
      <c r="E27" s="8" t="s">
        <v>51</v>
      </c>
      <c r="F27" s="8" t="s">
        <v>51</v>
      </c>
      <c r="G27" s="8" t="s">
        <v>2</v>
      </c>
      <c r="H27" s="1"/>
      <c r="I27" s="1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0"/>
      <c r="K28" s="10"/>
      <c r="L28" s="10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25" defaultRowHeight="15.75"/>
  <cols>
    <col min="1" max="11" width="10.75" customWidth="1"/>
    <col min="12" max="26" width="10.5" customWidth="1"/>
  </cols>
  <sheetData>
    <row r="1" spans="1:26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17" t="s">
        <v>38</v>
      </c>
      <c r="B2" s="17" t="s">
        <v>39</v>
      </c>
      <c r="C2" s="17" t="s">
        <v>40</v>
      </c>
      <c r="D2" s="18" t="s">
        <v>41</v>
      </c>
      <c r="E2" s="17" t="s">
        <v>42</v>
      </c>
      <c r="F2" s="17" t="s">
        <v>43</v>
      </c>
      <c r="G2" s="17" t="s">
        <v>44</v>
      </c>
      <c r="H2" s="17" t="s">
        <v>45</v>
      </c>
      <c r="I2" s="17" t="s">
        <v>46</v>
      </c>
      <c r="J2" s="17" t="s">
        <v>47</v>
      </c>
      <c r="K2" s="17" t="s">
        <v>48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19"/>
      <c r="B3" s="19"/>
      <c r="C3" s="19"/>
      <c r="D3" s="20"/>
      <c r="E3" s="19"/>
      <c r="F3" s="19"/>
      <c r="G3" s="19"/>
      <c r="H3" s="19"/>
      <c r="I3" s="19"/>
      <c r="J3" s="19"/>
      <c r="K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 Sai</cp:lastModifiedBy>
  <dcterms:modified xsi:type="dcterms:W3CDTF">2026-07-21T16:13:50Z</dcterms:modified>
</cp:coreProperties>
</file>