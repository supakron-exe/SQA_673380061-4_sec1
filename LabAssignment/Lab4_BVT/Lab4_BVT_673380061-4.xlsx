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63b15701f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ummary" sheetId="1" r:id="R3fb44727d9c9413e"/>
    <x:sheet xmlns:r="http://schemas.openxmlformats.org/officeDocument/2006/relationships" name="Normal" sheetId="2" r:id="Rb5c7e90030c04d40"/>
    <x:sheet xmlns:r="http://schemas.openxmlformats.org/officeDocument/2006/relationships" name="Robustness" sheetId="3" r:id="R8e9e8f11cd5748c0"/>
    <x:sheet xmlns:r="http://schemas.openxmlformats.org/officeDocument/2006/relationships" name="Defect Summary" sheetId="4" r:id="Rad670366d9134d82"/>
  </x:sheets>
</x:workbook>
</file>

<file path=xl/sharedStrings.xml><?xml version="1.0" encoding="utf-8"?>
<x:sst xmlns:x="http://schemas.openxmlformats.org/spreadsheetml/2006/main">
  <x:si>
    <x:t xml:space="preserve">Test Strategy</x:t>
  </x:si>
  <x:si>
    <x:t xml:space="preserve">No. of Test Cases</x:t>
  </x:si>
  <x:si>
    <x:t xml:space="preserve">Pass</x:t>
  </x:si>
  <x:si>
    <x:t xml:space="preserve">Fail</x:t>
  </x:si>
  <x:si>
    <x:t xml:space="preserve">No run</x:t>
  </x:si>
  <x:si>
    <x:t xml:space="preserve">Block</x:t>
  </x:si>
  <x:si>
    <x:t xml:space="preserve">Remark / Defect ID</x:t>
  </x:si>
  <x:si>
    <x:t xml:space="preserve">Normal Boundary Value Testing</x:t>
  </x:si>
  <x:si>
    <x:t xml:space="preserve">Robustness Testing</x:t>
  </x:si>
  <x:si>
    <x:t xml:space="preserve">Total</x:t>
  </x:si>
  <x:si>
    <x:t xml:space="preserve">Test Case Design and Test Results</x:t>
  </x:si>
  <x:si>
    <x:t xml:space="preserve">VO2 Max</x:t>
  </x:si>
  <x:si>
    <x:t xml:space="preserve">RHR</x:t>
  </x:si>
  <x:si>
    <x:t xml:space="preserve">HRR</x:t>
  </x:si>
  <x:si>
    <x:t xml:space="preserve">min-</x:t>
  </x:si>
  <x:si>
    <x:t xml:space="preserve">Project Name: </x:t>
  </x:si>
  <x:si>
    <x:t xml:space="preserve">Lab 4.1</x:t>
  </x:si>
  <x:si>
    <x:t xml:space="preserve">Student ID: </x:t>
  </x:si>
  <x:si>
    <x:t xml:space="preserve">673380061-4</x:t>
  </x:si>
  <x:si>
    <x:t xml:space="preserve">min</x:t>
  </x:si>
  <x:si>
    <x:t xml:space="preserve">Test Strategy: </x:t>
  </x:si>
  <x:si>
    <x:t xml:space="preserve">Functional testing - Normal Boundary Value Testing</x:t>
  </x:si>
  <x:si>
    <x:t xml:space="preserve">Designer: </x:t>
  </x:si>
  <x:si>
    <x:t xml:space="preserve">ศุภกร กรมรินทร์</x:t>
  </x:si>
  <x:si>
    <x:t xml:space="preserve">min+</x:t>
  </x:si>
  <x:si>
    <x:t xml:space="preserve">Test Environtment: </x:t>
  </x:si>
  <x:si>
    <x:t xml:space="preserve">Date:</x:t>
  </x:si>
  <x:si>
    <x:t xml:space="preserve">nom</x:t>
  </x:si>
  <x:si>
    <x:t xml:space="preserve">max-</x:t>
  </x:si>
  <x:si>
    <x:t xml:space="preserve">Test Case ID</x:t>
  </x:si>
  <x:si>
    <x:t xml:space="preserve">Input</x:t>
  </x:si>
  <x:si>
    <x:t xml:space="preserve">Expected Result</x:t>
  </x:si>
  <x:si>
    <x:t xml:space="preserve">Actual Result</x:t>
  </x:si>
  <x:si>
    <x:t xml:space="preserve">Status (Pass/Fail/No run)</x:t>
  </x:si>
  <x:si>
    <x:t xml:space="preserve">max</x:t>
  </x:si>
  <x:si>
    <x:t xml:space="preserve">max+</x:t>
  </x:si>
  <x:si>
    <x:t xml:space="preserve">Lab 4.2</x:t>
  </x:si>
  <x:si>
    <x:t xml:space="preserve">Functional testing - Robustness Testing</x:t>
  </x:si>
  <x:si>
    <x:t xml:space="preserve">No</x:t>
  </x:si>
  <x:si>
    <x:t xml:space="preserve">Defect No</x:t>
  </x:si>
  <x:si>
    <x:t xml:space="preserve">Defect Title</x:t>
  </x:si>
  <x:si>
    <x:t xml:space="preserve">Report Date</x:t>
  </x:si>
  <x:si>
    <x:t xml:space="preserve">Fix date</x:t>
  </x:si>
  <x:si>
    <x:t xml:space="preserve">Reporter</x:t>
  </x:si>
  <x:si>
    <x:t xml:space="preserve">Defect Status</x:t>
  </x:si>
  <x:si>
    <x:t xml:space="preserve">Defect Severity</x:t>
  </x:si>
  <x:si>
    <x:t xml:space="preserve">Defect Priority</x:t>
  </x:si>
  <x:si>
    <x:t xml:space="preserve">Closed By</x:t>
  </x:si>
  <x:si>
    <x:t xml:space="preserve">Defect Details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</x:si>
</x:sst>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2"/>
      <x:color theme="1"/>
      <x:name val="Aptos Narrow"/>
    </x:font>
    <x:font>
      <x:sz val="18"/>
      <x:color theme="1"/>
      <x:name val="TH Sarabun PSK"/>
    </x:font>
    <x:font>
      <x:b/>
      <x:sz val="18"/>
      <x:color theme="1"/>
      <x:name val="TH Sarabun PSK"/>
    </x:font>
    <x:font>
      <x:sz val="18"/>
      <x:color theme="10"/>
      <x:name val="TH Sarabun PSK"/>
    </x:font>
    <x:font/>
    <x:font>
      <x:sz val="18"/>
      <x:color rgb="FFFF0000"/>
      <x:name val="TH Sarabun PSK"/>
    </x:font>
    <x:font>
      <x:sz val="18"/>
      <x:color rgb="FF000000"/>
      <x:name val="TH Sarabun PSK"/>
    </x:font>
  </x:fonts>
  <x:fills count="8">
    <x:fill>
      <x:patternFill patternType="none"/>
    </x:fill>
    <x:fill>
      <x:patternFill patternType="lightGray"/>
    </x:fill>
    <x:fill>
      <x:patternFill patternType="solid">
        <x:fgColor rgb="FFFFFF00"/>
      </x:patternFill>
    </x:fill>
    <x:fill>
      <x:patternFill patternType="solid">
        <x:fgColor theme="4"/>
      </x:patternFill>
    </x:fill>
    <x:fill>
      <x:patternFill patternType="solid">
        <x:fgColor rgb="FF92D05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  <x:fill>
      <x:patternFill patternType="solid">
        <x:fgColor rgb="FFFFC000"/>
      </x:patternFill>
    </x:fill>
  </x:fills>
  <x:borders count="9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38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2" borderId="1" xfId="0" applyFont="1" applyFill="1" applyBorder="1" applyAlignment="1">
      <x:alignment horizontal="center"/>
    </x:xf>
    <x:xf numFmtId="0" fontId="2" fillId="2" borderId="1" xfId="0" applyFont="1" applyBorder="1" applyAlignment="1">
      <x:alignment horizontal="center" wrapText="1"/>
    </x:xf>
    <x:xf numFmtId="0" fontId="2" fillId="2" borderId="1" xfId="0" applyFont="1" applyBorder="1" applyAlignment="1">
      <x:alignment horizontal="center" vertical="center" wrapText="1"/>
    </x:xf>
    <x:xf numFmtId="0" fontId="2" fillId="2" borderId="1" xfId="0" applyFont="1" applyBorder="1" applyAlignment="1">
      <x:alignment horizontal="center" vertical="top" wrapText="1"/>
    </x:xf>
    <x:xf numFmtId="0" fontId="1" fillId="0" borderId="1" xfId="0" applyFont="1" applyBorder="1" applyAlignment="1">
      <x:alignment horizontal="center"/>
    </x:xf>
    <x:xf numFmtId="0" fontId="3" fillId="0" borderId="1" xfId="0" applyFont="1" applyBorder="1" applyAlignment="1">
      <x:alignment horizontal="center"/>
    </x:xf>
    <x:xf numFmtId="0" fontId="1" fillId="0" borderId="1" xfId="0" applyFont="1" applyBorder="1"/>
    <x:xf numFmtId="0" fontId="2" fillId="3" borderId="2" xfId="0" applyFont="1" applyFill="1" applyBorder="1" applyAlignment="1">
      <x:alignment horizontal="center"/>
    </x:xf>
    <x:xf numFmtId="0" fontId="1" fillId="4" borderId="1" xfId="0" applyFont="1" applyFill="1" applyBorder="1"/>
    <x:xf numFmtId="0" fontId="1" fillId="5" borderId="1" xfId="0" applyFont="1" applyFill="1" applyBorder="1"/>
    <x:xf numFmtId="0" fontId="2" fillId="2" borderId="3" xfId="0" applyFont="1" applyBorder="1" applyAlignment="1">
      <x:alignment horizontal="center"/>
    </x:xf>
    <x:xf numFmtId="0" fontId="4" fillId="0" borderId="4" xfId="0" applyFont="1" applyBorder="1"/>
    <x:xf numFmtId="0" fontId="4" fillId="0" borderId="5" xfId="0" applyFont="1" applyBorder="1"/>
    <x:xf numFmtId="0" fontId="1" fillId="0" borderId="0" xfId="0" applyFont="1" applyAlignment="1">
      <x:alignment horizontal="center"/>
    </x:xf>
    <x:xf numFmtId="0" fontId="2" fillId="0" borderId="1" xfId="0" applyFont="1" applyBorder="1" applyAlignment="1">
      <x:alignment horizontal="center"/>
    </x:xf>
    <x:xf numFmtId="0" fontId="1" fillId="0" borderId="6" xfId="0" applyFont="1" applyBorder="1"/>
    <x:xf numFmtId="0" fontId="1" fillId="0" borderId="1" xfId="0" applyFont="1" applyBorder="1" applyAlignment="1"/>
    <x:xf numFmtId="0" fontId="2" fillId="0" borderId="1" xfId="0" applyFont="1" applyBorder="1" applyAlignment="1">
      <x:alignment horizontal="right"/>
    </x:xf>
    <x:xf numFmtId="0" fontId="1" fillId="0" borderId="3" xfId="0" applyFont="1" applyBorder="1" applyAlignment="1">
      <x:alignment horizontal="left"/>
    </x:xf>
    <x:xf numFmtId="0" fontId="2" fillId="0" borderId="1" xfId="0" applyFont="1" applyBorder="1"/>
    <x:xf numFmtId="0" fontId="2" fillId="0" borderId="3" xfId="0" applyFont="1" applyBorder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 wrapText="1"/>
    </x:xf>
    <x:xf numFmtId="0" fontId="4" fillId="0" borderId="8" xfId="0" applyFont="1" applyBorder="1"/>
    <x:xf numFmtId="0" fontId="1" fillId="6" borderId="1" xfId="0" applyFont="1" applyFill="1" applyBorder="1" applyAlignment="1"/>
    <x:xf numFmtId="0" fontId="5" fillId="0" borderId="1" xfId="0" applyFont="1" applyBorder="1"/>
    <x:xf numFmtId="0" fontId="1" fillId="0" borderId="7" xfId="0" applyFont="1" applyBorder="1"/>
    <x:xf numFmtId="0" fontId="2" fillId="7" borderId="1" xfId="0" applyFont="1" applyFill="1" applyBorder="1" applyAlignment="1">
      <x:alignment horizontal="center" vertical="center" wrapText="1"/>
    </x:xf>
    <x:xf numFmtId="14" fontId="2" fillId="7" borderId="1" xfId="0" applyNumberFormat="1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left" vertical="top"/>
    </x:xf>
    <x:xf numFmtId="14" fontId="1" fillId="0" borderId="1" xfId="0" applyNumberFormat="1" applyFont="1" applyBorder="1" applyAlignment="1">
      <x:alignment horizontal="left" vertical="top"/>
    </x:xf>
    <x:xf numFmtId="20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6" fillId="0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 vertical="center" wrapText="1"/>
    </x:xf>
    <x:xf numFmtId="14" fontId="2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b37f187e8433d" /><Relationship Type="http://schemas.openxmlformats.org/officeDocument/2006/relationships/theme" Target="/xl/theme/theme1.xml" Id="R81d7895d18cd4c1f" /><Relationship Type="http://schemas.openxmlformats.org/officeDocument/2006/relationships/sharedStrings" Target="/xl/sharedStrings.xml" Id="Rdab3edf255ac4190" /><Relationship Type="http://schemas.openxmlformats.org/officeDocument/2006/relationships/worksheet" Target="/xl/worksheets/sheet1.xml" Id="R3fb44727d9c9413e" /><Relationship Type="http://schemas.openxmlformats.org/officeDocument/2006/relationships/worksheet" Target="/xl/worksheets/sheet2.xml" Id="Rb5c7e90030c04d40" /><Relationship Type="http://schemas.openxmlformats.org/officeDocument/2006/relationships/worksheet" Target="/xl/worksheets/sheet3.xml" Id="R8e9e8f11cd5748c0" /><Relationship Type="http://schemas.openxmlformats.org/officeDocument/2006/relationships/worksheet" Target="/xl/worksheets/sheet4.xml" Id="Rad670366d9134d8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.220000267028809" defaultRowHeight="15"/>
  <x:cols>
    <x:col min="1" max="1" width="33.779998779296875" customWidth="1"/>
    <x:col min="2" max="2" width="17.110000610351562" customWidth="1"/>
    <x:col min="3" max="6" width="9.109999656677246" customWidth="1"/>
    <x:col min="7" max="7" width="22" hidden="0" customWidth="1"/>
    <x:col min="8" max="26" width="9.109999656677246" customWidth="1"/>
  </x:cols>
  <x:sheetData>
    <x:row r="1" ht="27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40" customHeight="1">
      <x:c r="A2" s="2" t="s">
        <x:v>0</x:v>
      </x:c>
      <x:c r="B2" s="3" t="s">
        <x:v>1</x:v>
      </x:c>
      <x:c r="C2" s="4" t="s">
        <x:v>2</x:v>
      </x:c>
      <x:c r="D2" s="4" t="s">
        <x:v>3</x:v>
      </x:c>
      <x:c r="E2" s="4" t="s">
        <x:v>4</x:v>
      </x:c>
      <x:c r="F2" s="4" t="s">
        <x:v>5</x:v>
      </x:c>
      <x:c r="G2" s="5" t="s">
        <x:v>6</x:v>
      </x:c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7" customHeight="1">
      <x:c r="A3" s="6" t="s">
        <x:v>7</x:v>
      </x:c>
      <x:c r="B3" s="6" t="n">
        <x:f>COUNTA('Normal'!A9:A21)</x:f>
        <x:v>13</x:v>
      </x:c>
      <x:c r="C3" s="6" t="n">
        <x:f>COUNTIF('Normal'!G9:G21,"Pass")</x:f>
        <x:v>13</x:v>
      </x:c>
      <x:c r="D3" s="6" t="n">
        <x:f>COUNTIF('Normal'!G9:G21,"Fail")</x:f>
        <x:v>0</x:v>
      </x:c>
      <x:c r="E3" s="6" t="n">
        <x:f>COUNTIF('Normal'!G9:G21,"No run")</x:f>
        <x:v>0</x:v>
      </x:c>
      <x:c r="F3" s="6" t="n">
        <x:f>COUNTIF('Normal'!G9:G21,"Block")</x:f>
        <x:v>0</x:v>
      </x:c>
      <x:c r="G3" s="7" t="str">
        <x:v>No defects found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7" customHeight="1">
      <x:c r="A4" s="6" t="s">
        <x:v>8</x:v>
      </x:c>
      <x:c r="B4" s="8" t="n">
        <x:f>COUNTA('Robustness'!A9:A27)</x:f>
        <x:v>19</x:v>
      </x:c>
      <x:c r="C4" s="8" t="n">
        <x:f>COUNTIF('Robustness'!G9:G27,"Pass")</x:f>
        <x:v>19</x:v>
      </x:c>
      <x:c r="D4" s="8" t="n">
        <x:f>COUNTIF('Robustness'!G9:G27,"Fail")</x:f>
        <x:v>0</x:v>
      </x:c>
      <x:c r="E4" s="8" t="n">
        <x:f>COUNTIF('Robustness'!G9:G27,"No run")</x:f>
        <x:v>0</x:v>
      </x:c>
      <x:c r="F4" s="8" t="n">
        <x:f>COUNTIF('Robustness'!G9:G27,"Block")</x:f>
        <x:v>0</x:v>
      </x:c>
      <x:c r="G4" s="8" t="str">
        <x:v>No defects found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7" customHeight="1">
      <x:c r="A5" s="8"/>
      <x:c r="B5" s="8"/>
      <x:c r="C5" s="8"/>
      <x:c r="D5" s="8"/>
      <x:c r="E5" s="8"/>
      <x:c r="F5" s="8"/>
      <x:c r="G5" s="8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7" customHeight="1">
      <x:c r="A6" s="9" t="s">
        <x:v>9</x:v>
      </x:c>
      <x:c r="B6" s="8" t="n">
        <x:f>SUM(B3:B4)</x:f>
        <x:v>32</x:v>
      </x:c>
      <x:c r="C6" s="10" t="n">
        <x:f>SUM(C3:C4)</x:f>
        <x:v>32</x:v>
      </x:c>
      <x:c r="D6" s="11" t="n">
        <x:f>SUM(D3:D4)</x:f>
        <x:v>0</x:v>
      </x:c>
      <x:c r="E6" s="8" t="n">
        <x:f>SUM(E3:E4)</x:f>
        <x:v>0</x:v>
      </x:c>
      <x:c r="F6" s="8" t="n">
        <x:f>SUM(F3:F4)</x:f>
        <x:v>0</x:v>
      </x:c>
      <x:c r="G6" s="7" t="str">
        <x:v>No defects found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7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7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7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7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7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7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7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7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7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7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7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7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7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7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7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7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7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7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7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7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7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7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7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7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7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7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7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7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7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7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7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7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7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7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7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7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7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7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27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27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27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27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27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27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27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27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27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27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27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27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27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27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27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27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27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27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27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27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27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27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27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27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27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27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27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27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27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27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27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27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27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27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27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27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27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27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27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27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27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27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27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27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27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27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27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27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27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27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27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27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27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27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27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27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27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27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27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27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27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27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27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27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27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27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27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27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27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27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27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27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27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27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27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27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27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27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27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27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27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27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27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27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27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27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27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27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27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27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27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27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27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27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27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27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27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27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27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27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27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27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27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27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27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27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27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27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27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27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27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27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27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27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27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27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27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27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27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27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27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27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27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27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27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27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27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27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27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27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27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27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27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27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27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27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27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27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27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27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27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27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27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27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27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27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27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27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27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27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27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27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27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27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27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27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27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27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27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27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27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27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27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27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27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27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27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27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27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27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27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27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27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27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27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27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27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27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27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27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27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27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27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27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27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27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27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27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27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27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27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27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27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27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27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27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27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27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27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27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27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27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27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27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27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27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27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27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27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27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27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27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27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27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27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27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27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27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27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27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27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27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27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27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27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27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27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27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27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27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27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27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27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27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27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27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27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27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27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27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27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27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27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27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27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27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27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27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27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27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27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27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27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27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27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27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27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27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27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27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27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27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27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27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27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27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27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27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27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27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27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27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27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27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27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27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27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27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27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27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27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27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27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27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27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27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27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27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27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27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27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27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27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27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27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27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27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27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27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27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27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27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27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27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27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27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27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27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27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27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27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27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27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27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27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27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27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27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27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27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27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27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27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27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27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27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27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27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27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27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27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27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27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27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27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27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27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27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27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27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27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27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27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27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27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27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27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27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27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27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27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27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27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27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27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27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27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27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27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27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27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27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27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27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27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27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27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27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27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27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27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27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27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27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27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27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27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27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27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27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27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27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27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27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27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27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27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27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27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27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27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27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27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27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27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27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27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27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27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27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27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27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27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27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27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27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27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27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27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27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27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27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27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27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27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27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27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27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27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27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27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27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27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27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27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27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27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27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27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27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27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27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27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27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27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27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27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27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27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27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27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27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27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27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27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27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27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27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27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27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27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27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27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27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27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27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27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27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27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27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27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27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27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27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27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27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27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27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27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27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27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27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27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27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27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27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27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27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27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27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27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27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27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27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27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27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27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27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27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27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27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27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27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27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27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27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27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27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27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27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27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27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27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27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27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27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27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27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27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27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27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27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27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27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27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27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27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27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27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27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27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27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27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27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27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27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27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27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27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27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27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27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27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27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27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27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27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27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27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27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27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27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27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27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27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27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27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27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27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27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27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27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27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27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27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27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27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27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27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27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27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27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27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27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27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27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27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27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27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27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27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27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27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27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27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27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27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27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27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27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27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27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27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27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27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27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27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27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27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27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27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27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27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27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27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27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27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27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27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27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27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27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27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27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27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27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27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27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27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27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27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27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27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27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27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27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27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27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27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27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27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27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27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27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27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27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27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27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27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27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27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27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27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27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27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27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27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27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27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27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27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27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27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27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ht="27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ht="27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ht="27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ht="27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ht="27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ht="27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ht="27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ht="27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ht="27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ht="27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ht="27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ht="27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ht="27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ht="27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ht="27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ht="27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ht="27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ht="27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ht="27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ht="27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ht="27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ht="27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ht="27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ht="27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ht="27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ht="27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ht="27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ht="27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ht="27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ht="27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ht="27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ht="27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ht="27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ht="27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ht="27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ht="27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ht="27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ht="27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ht="27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ht="27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ht="27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ht="27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ht="27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ht="27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ht="27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ht="27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ht="27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ht="27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ht="27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ht="27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ht="27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ht="27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ht="27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ht="27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ht="27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ht="27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ht="27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ht="27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ht="27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ht="27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ht="27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ht="27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ht="27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ht="27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ht="27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ht="27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ht="27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ht="27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ht="27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ht="27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ht="27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ht="27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ht="27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ht="27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ht="27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ht="27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ht="27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ht="27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ht="27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ht="27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ht="27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ht="27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ht="27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ht="27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ht="27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ht="27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ht="27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ht="27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ht="27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ht="27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ht="27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ht="27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ht="27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ht="27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ht="27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ht="27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ht="27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ht="27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ht="27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ht="27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ht="27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ht="27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ht="27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ht="27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ht="27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ht="27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ht="27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ht="27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ht="27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ht="27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ht="27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ht="27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ht="27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ht="27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ht="27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ht="27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ht="27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ht="27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ht="27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ht="27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ht="27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ht="27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ht="27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ht="27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ht="27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ht="27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ht="27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ht="27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ht="27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ht="27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ht="27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ht="27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ht="27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ht="27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ht="27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ht="27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ht="27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ht="27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ht="27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ht="27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ht="27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ht="27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ht="27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ht="27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ht="27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ht="27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ht="27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ht="27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ht="27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ht="27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ht="27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ht="27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ht="27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ht="27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ht="27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ht="27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ht="27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ht="27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ht="27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ht="27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ht="27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ht="27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ht="27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ht="27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ht="27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ht="27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ht="27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ht="27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ht="27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ht="27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ht="27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ht="27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ht="27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ht="27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ht="27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ht="27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ht="27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ht="27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ht="27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ht="27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ht="27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ht="27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ht="27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ht="27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ht="27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ht="27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ht="27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ht="27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ht="27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ht="27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ht="27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ht="27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ht="27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ht="27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ht="27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ht="27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ht="27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ht="27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ht="27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ht="27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ht="27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ht="27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ht="27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ht="27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ht="27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ht="27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ht="27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ht="27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ht="27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ht="27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ht="27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ht="27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ht="27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ht="27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ht="27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ht="27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ht="27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ht="27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ht="27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ht="27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ht="27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ht="27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ht="27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ht="27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ht="27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ht="27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ht="27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ht="27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ht="27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ht="27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ht="27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ht="27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ht="27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ht="27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ht="27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ht="27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ht="27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ht="27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ht="27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ht="27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ht="27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ht="27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ht="27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ht="27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ht="27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ht="27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ht="27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ht="27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ht="27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ht="27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ht="27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ht="27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ht="27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ht="27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ht="27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ht="27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ht="27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ht="27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ht="27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ht="27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ht="27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ht="27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ht="27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ht="27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ht="27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ht="27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ht="27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ht="27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ht="27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ht="27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ht="27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ht="27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ht="27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ht="27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ht="27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ht="27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ht="27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ht="27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ht="27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ht="27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ht="27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ht="27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ht="27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ht="27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ht="27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ht="27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ht="27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ht="27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ht="27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ht="27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ht="27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ht="27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ht="27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ht="27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ht="27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ht="27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ht="27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ht="27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ht="27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ht="27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ht="27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ht="27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ht="27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ht="27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ht="27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ht="27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ht="27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ht="27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ht="27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ht="27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220000267028809" defaultRowHeight="15"/>
  <x:cols>
    <x:col min="1" max="1" width="20.5" hidden="0" customWidth="1"/>
    <x:col min="2" max="4" width="21.329999923706055" customWidth="1"/>
    <x:col min="5" max="5" width="23.440000534057617" customWidth="1"/>
    <x:col min="6" max="6" width="20.110000610351562" customWidth="1"/>
    <x:col min="7" max="7" width="25.110000610351562" customWidth="1"/>
    <x:col min="8" max="10" width="10.779999732971191" customWidth="1"/>
    <x:col min="11" max="11" width="15.329999923706055" customWidth="1"/>
    <x:col min="12" max="12" width="10.779999732971191" customWidth="1"/>
    <x:col min="13" max="13" width="16.440000534057617" customWidth="1"/>
    <x:col min="14" max="26" width="10.5600004196167" customWidth="1"/>
  </x:cols>
  <x:sheetData>
    <x:row r="1" ht="27" customHeight="1">
      <x:c r="A1" s="12" t="s">
        <x:v>10</x:v>
      </x:c>
      <x:c r="B1" s="13"/>
      <x:c r="C1" s="13"/>
      <x:c r="D1" s="13"/>
      <x:c r="E1" s="13"/>
      <x:c r="F1" s="13"/>
      <x:c r="G1" s="14"/>
      <x:c r="H1" s="1"/>
      <x:c r="I1" s="1"/>
      <x:c r="J1" s="15"/>
      <x:c r="K1" s="16" t="s">
        <x:v>11</x:v>
      </x:c>
      <x:c r="L1" s="16" t="s">
        <x:v>12</x:v>
      </x:c>
      <x:c r="M1" s="16" t="s">
        <x:v>13</x:v>
      </x:c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7" customHeight="1">
      <x:c r="A2" s="1"/>
      <x:c r="B2" s="1"/>
      <x:c r="C2" s="1"/>
      <x:c r="D2" s="1"/>
      <x:c r="E2" s="1"/>
      <x:c r="F2" s="1"/>
      <x:c r="G2" s="17"/>
      <x:c r="H2" s="1"/>
      <x:c r="I2" s="1"/>
      <x:c r="J2" s="6" t="s">
        <x:v>14</x:v>
      </x:c>
      <x:c r="K2" s="18">
        <x:v>24.0</x:v>
      </x:c>
      <x:c r="L2" s="18">
        <x:v>39.0</x:v>
      </x:c>
      <x:c r="M2" s="18">
        <x:v>11.0</x:v>
      </x:c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7" customHeight="1">
      <x:c r="A3" s="19" t="s">
        <x:v>15</x:v>
      </x:c>
      <x:c r="B3" s="20" t="s">
        <x:v>16</x:v>
      </x:c>
      <x:c r="C3" s="13"/>
      <x:c r="D3" s="13"/>
      <x:c r="E3" s="13"/>
      <x:c r="F3" s="19" t="s">
        <x:v>17</x:v>
      </x:c>
      <x:c r="G3" s="18" t="s">
        <x:v>18</x:v>
      </x:c>
      <x:c r="H3" s="1"/>
      <x:c r="I3" s="1"/>
      <x:c r="J3" s="6" t="s">
        <x:v>19</x:v>
      </x:c>
      <x:c r="K3" s="18">
        <x:v>25.0</x:v>
      </x:c>
      <x:c r="L3" s="18">
        <x:v>40.0</x:v>
      </x:c>
      <x:c r="M3" s="18">
        <x:v>12.0</x:v>
      </x:c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7" customHeight="1">
      <x:c r="A4" s="19" t="s">
        <x:v>20</x:v>
      </x:c>
      <x:c r="B4" s="20" t="s">
        <x:v>21</x:v>
      </x:c>
      <x:c r="C4" s="13"/>
      <x:c r="D4" s="13"/>
      <x:c r="E4" s="13"/>
      <x:c r="F4" s="19" t="s">
        <x:v>22</x:v>
      </x:c>
      <x:c r="G4" s="18" t="s">
        <x:v>23</x:v>
      </x:c>
      <x:c r="H4" s="1"/>
      <x:c r="I4" s="1"/>
      <x:c r="J4" s="6" t="s">
        <x:v>24</x:v>
      </x:c>
      <x:c r="K4" s="18">
        <x:v>26.0</x:v>
      </x:c>
      <x:c r="L4" s="18">
        <x:v>41.0</x:v>
      </x:c>
      <x:c r="M4" s="18">
        <x:v>13.0</x:v>
      </x:c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7" customHeight="1">
      <x:c r="A5" s="21" t="s">
        <x:v>25</x:v>
      </x:c>
      <x:c r="B5" s="22" t="str">
        <x:v>Windows 11 / Java 26.0.1 / JUnit 6.1.1 / Maven 3.9.16</x:v>
      </x:c>
      <x:c r="C5" s="13"/>
      <x:c r="D5" s="13"/>
      <x:c r="E5" s="14"/>
      <x:c r="F5" s="19" t="s">
        <x:v>26</x:v>
      </x:c>
      <x:c r="G5" s="33" t="n">
        <x:v>46224</x:v>
      </x:c>
      <x:c r="H5" s="1"/>
      <x:c r="I5" s="1"/>
      <x:c r="J5" s="6" t="s">
        <x:v>27</x:v>
      </x:c>
      <x:c r="K5" s="18">
        <x:v>42.0</x:v>
      </x:c>
      <x:c r="L5" s="18">
        <x:v>130.0</x:v>
      </x:c>
      <x:c r="M5" s="18">
        <x:v>21.0</x:v>
      </x:c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7" customHeight="1">
      <x:c r="A6" s="1"/>
      <x:c r="B6" s="1"/>
      <x:c r="C6" s="1"/>
      <x:c r="D6" s="1"/>
      <x:c r="E6" s="1"/>
      <x:c r="F6" s="1"/>
      <x:c r="G6" s="1"/>
      <x:c r="H6" s="1"/>
      <x:c r="I6" s="1"/>
      <x:c r="J6" s="6" t="s">
        <x:v>28</x:v>
      </x:c>
      <x:c r="K6" s="18">
        <x:v>59.0</x:v>
      </x:c>
      <x:c r="L6" s="18">
        <x:v>219.0</x:v>
      </x:c>
      <x:c r="M6" s="18">
        <x:v>29.0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4.75" customHeight="1">
      <x:c r="A7" s="23" t="s">
        <x:v>29</x:v>
      </x:c>
      <x:c r="B7" s="22" t="s">
        <x:v>30</x:v>
      </x:c>
      <x:c r="C7" s="13"/>
      <x:c r="D7" s="14"/>
      <x:c r="E7" s="23" t="s">
        <x:v>31</x:v>
      </x:c>
      <x:c r="F7" s="23" t="s">
        <x:v>32</x:v>
      </x:c>
      <x:c r="G7" s="24" t="s">
        <x:v>33</x:v>
      </x:c>
      <x:c r="H7" s="1"/>
      <x:c r="I7" s="1"/>
      <x:c r="J7" s="6" t="s">
        <x:v>34</x:v>
      </x:c>
      <x:c r="K7" s="18">
        <x:v>60.0</x:v>
      </x:c>
      <x:c r="L7" s="18">
        <x:v>220.0</x:v>
      </x:c>
      <x:c r="M7" s="18">
        <x:v>30.0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7" customHeight="1">
      <x:c r="A8" s="25"/>
      <x:c r="B8" s="16" t="s">
        <x:v>11</x:v>
      </x:c>
      <x:c r="C8" s="16" t="s">
        <x:v>12</x:v>
      </x:c>
      <x:c r="D8" s="16" t="s">
        <x:v>13</x:v>
      </x:c>
      <x:c r="E8" s="25"/>
      <x:c r="F8" s="25"/>
      <x:c r="G8" s="25"/>
      <x:c r="H8" s="1"/>
      <x:c r="I8" s="1"/>
      <x:c r="J8" s="6" t="s">
        <x:v>35</x:v>
      </x:c>
      <x:c r="K8" s="18">
        <x:v>61.0</x:v>
      </x:c>
      <x:c r="L8" s="18">
        <x:v>221.0</x:v>
      </x:c>
      <x:c r="M8" s="18">
        <x:v>31.0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7" customHeight="1">
      <x:c r="A9" s="8" t="str">
        <x:v>TC001</x:v>
      </x:c>
      <x:c r="B9" s="26" t="n">
        <x:v>42</x:v>
      </x:c>
      <x:c r="C9" s="26" t="n">
        <x:v>130</x:v>
      </x:c>
      <x:c r="D9" s="26" t="n">
        <x:v>21</x:v>
      </x:c>
      <x:c r="E9" s="18" t="str">
        <x:v>Standard</x:v>
      </x:c>
      <x:c r="F9" s="8" t="str">
        <x:v>Standard</x:v>
      </x:c>
      <x:c r="G9" s="8" t="str">
        <x:v>Pass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7" customHeight="1">
      <x:c r="A10" s="8" t="str">
        <x:v>TC002</x:v>
      </x:c>
      <x:c r="B10" s="26" t="n">
        <x:v>25</x:v>
      </x:c>
      <x:c r="C10" s="26" t="n">
        <x:v>130</x:v>
      </x:c>
      <x:c r="D10" s="26" t="n">
        <x:v>21</x:v>
      </x:c>
      <x:c r="E10" s="18" t="str">
        <x:v>Standard</x:v>
      </x:c>
      <x:c r="F10" s="8" t="str">
        <x:v>Standard</x:v>
      </x:c>
      <x:c r="G10" s="8" t="str">
        <x:v>Pass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7" customHeight="1">
      <x:c r="A11" s="8" t="str">
        <x:v>TC003</x:v>
      </x:c>
      <x:c r="B11" s="26" t="n">
        <x:v>26</x:v>
      </x:c>
      <x:c r="C11" s="26" t="n">
        <x:v>130</x:v>
      </x:c>
      <x:c r="D11" s="26" t="n">
        <x:v>21</x:v>
      </x:c>
      <x:c r="E11" s="18" t="str">
        <x:v>Standard</x:v>
      </x:c>
      <x:c r="F11" s="8" t="str">
        <x:v>Standard</x:v>
      </x:c>
      <x:c r="G11" s="8" t="str">
        <x:v>Pass</x:v>
      </x:c>
      <x:c r="H11" s="1"/>
      <x:c r="I11" s="1"/>
      <x:c r="J11" s="15"/>
      <x:c r="K11" s="15"/>
      <x:c r="L11" s="15"/>
      <x:c r="M11" s="15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7" customHeight="1">
      <x:c r="A12" s="8" t="str">
        <x:v>TC004</x:v>
      </x:c>
      <x:c r="B12" s="26" t="n">
        <x:v>59</x:v>
      </x:c>
      <x:c r="C12" s="26" t="n">
        <x:v>130</x:v>
      </x:c>
      <x:c r="D12" s="26" t="n">
        <x:v>21</x:v>
      </x:c>
      <x:c r="E12" s="18" t="str">
        <x:v>Standard</x:v>
      </x:c>
      <x:c r="F12" s="8" t="str">
        <x:v>Standard</x:v>
      </x:c>
      <x:c r="G12" s="8" t="str">
        <x:v>Pass</x:v>
      </x:c>
      <x:c r="H12" s="1"/>
      <x:c r="I12" s="1"/>
      <x:c r="J12" s="15"/>
      <x:c r="K12" s="15"/>
      <x:c r="L12" s="15"/>
      <x:c r="M12" s="15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7" customHeight="1">
      <x:c r="A13" s="8" t="str">
        <x:v>TC005</x:v>
      </x:c>
      <x:c r="B13" s="26" t="n">
        <x:v>60</x:v>
      </x:c>
      <x:c r="C13" s="26" t="n">
        <x:v>130</x:v>
      </x:c>
      <x:c r="D13" s="26" t="n">
        <x:v>21</x:v>
      </x:c>
      <x:c r="E13" s="18" t="str">
        <x:v>Standard</x:v>
      </x:c>
      <x:c r="F13" s="8" t="str">
        <x:v>Standard</x:v>
      </x:c>
      <x:c r="G13" s="8" t="str">
        <x:v>Pass</x:v>
      </x:c>
      <x:c r="H13" s="1"/>
      <x:c r="I13" s="1"/>
      <x:c r="J13" s="15"/>
      <x:c r="K13" s="15"/>
      <x:c r="L13" s="15"/>
      <x:c r="M13" s="15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7" customHeight="1">
      <x:c r="A14" s="8" t="str">
        <x:v>TC006</x:v>
      </x:c>
      <x:c r="B14" s="26" t="n">
        <x:v>42</x:v>
      </x:c>
      <x:c r="C14" s="26" t="n">
        <x:v>40</x:v>
      </x:c>
      <x:c r="D14" s="26" t="n">
        <x:v>21</x:v>
      </x:c>
      <x:c r="E14" s="18" t="str">
        <x:v>Excellent</x:v>
      </x:c>
      <x:c r="F14" s="8" t="str">
        <x:v>Excellent</x:v>
      </x:c>
      <x:c r="G14" s="8" t="str">
        <x:v>Pass</x:v>
      </x:c>
      <x:c r="H14" s="1"/>
      <x:c r="I14" s="1"/>
      <x:c r="J14" s="15"/>
      <x:c r="K14" s="15"/>
      <x:c r="L14" s="15"/>
      <x:c r="M14" s="15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7" customHeight="1">
      <x:c r="A15" s="8" t="str">
        <x:v>TC007</x:v>
      </x:c>
      <x:c r="B15" s="26" t="n">
        <x:v>42</x:v>
      </x:c>
      <x:c r="C15" s="26" t="n">
        <x:v>41</x:v>
      </x:c>
      <x:c r="D15" s="26" t="n">
        <x:v>21</x:v>
      </x:c>
      <x:c r="E15" s="18" t="str">
        <x:v>Excellent</x:v>
      </x:c>
      <x:c r="F15" s="8" t="str">
        <x:v>Excellent</x:v>
      </x:c>
      <x:c r="G15" s="8" t="str">
        <x:v>Pass</x:v>
      </x:c>
      <x:c r="H15" s="1"/>
      <x:c r="I15" s="1"/>
      <x:c r="J15" s="15"/>
      <x:c r="K15" s="15"/>
      <x:c r="L15" s="15"/>
      <x:c r="M15" s="15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7" customHeight="1">
      <x:c r="A16" s="8" t="str">
        <x:v>TC008</x:v>
      </x:c>
      <x:c r="B16" s="26" t="n">
        <x:v>42</x:v>
      </x:c>
      <x:c r="C16" s="26" t="n">
        <x:v>219</x:v>
      </x:c>
      <x:c r="D16" s="26" t="n">
        <x:v>21</x:v>
      </x:c>
      <x:c r="E16" s="18" t="str">
        <x:v>Standard</x:v>
      </x:c>
      <x:c r="F16" s="8" t="str">
        <x:v>Standard</x:v>
      </x:c>
      <x:c r="G16" s="8" t="str">
        <x:v>Pass</x:v>
      </x:c>
      <x:c r="H16" s="1"/>
      <x:c r="I16" s="1"/>
      <x:c r="J16" s="15"/>
      <x:c r="K16" s="15"/>
      <x:c r="L16" s="15"/>
      <x:c r="M16" s="15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7" customHeight="1">
      <x:c r="A17" s="8" t="str">
        <x:v>TC009</x:v>
      </x:c>
      <x:c r="B17" s="26" t="n">
        <x:v>42</x:v>
      </x:c>
      <x:c r="C17" s="26" t="n">
        <x:v>220</x:v>
      </x:c>
      <x:c r="D17" s="26" t="n">
        <x:v>21</x:v>
      </x:c>
      <x:c r="E17" s="18" t="str">
        <x:v>Standard</x:v>
      </x:c>
      <x:c r="F17" s="8" t="str">
        <x:v>Standard</x:v>
      </x:c>
      <x:c r="G17" s="8" t="str">
        <x:v>Pass</x:v>
      </x:c>
      <x:c r="H17" s="1"/>
      <x:c r="I17" s="1"/>
      <x:c r="J17" s="15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7" customHeight="1">
      <x:c r="A18" s="8" t="str">
        <x:v>TC010</x:v>
      </x:c>
      <x:c r="B18" s="26" t="n">
        <x:v>42</x:v>
      </x:c>
      <x:c r="C18" s="26" t="n">
        <x:v>130</x:v>
      </x:c>
      <x:c r="D18" s="26" t="n">
        <x:v>12</x:v>
      </x:c>
      <x:c r="E18" s="18" t="str">
        <x:v>Standard</x:v>
      </x:c>
      <x:c r="F18" s="8" t="str">
        <x:v>Standard</x:v>
      </x:c>
      <x:c r="G18" s="8" t="str">
        <x:v>Pass</x:v>
      </x:c>
      <x:c r="H18" s="1"/>
      <x:c r="I18" s="1"/>
      <x:c r="J18" s="15"/>
      <x:c r="K18" s="15"/>
      <x:c r="L18" s="15"/>
      <x:c r="M18" s="15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7" customHeight="1">
      <x:c r="A19" s="8" t="str">
        <x:v>TC011</x:v>
      </x:c>
      <x:c r="B19" s="26" t="n">
        <x:v>42</x:v>
      </x:c>
      <x:c r="C19" s="26" t="n">
        <x:v>130</x:v>
      </x:c>
      <x:c r="D19" s="26" t="n">
        <x:v>13</x:v>
      </x:c>
      <x:c r="E19" s="18" t="str">
        <x:v>Standard</x:v>
      </x:c>
      <x:c r="F19" s="8" t="str">
        <x:v>Standard</x:v>
      </x:c>
      <x:c r="G19" s="8" t="str">
        <x:v>Pass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7" customHeight="1">
      <x:c r="A20" s="8" t="str">
        <x:v>TC012</x:v>
      </x:c>
      <x:c r="B20" s="26" t="n">
        <x:v>42</x:v>
      </x:c>
      <x:c r="C20" s="26" t="n">
        <x:v>130</x:v>
      </x:c>
      <x:c r="D20" s="26" t="n">
        <x:v>29</x:v>
      </x:c>
      <x:c r="E20" s="18" t="str">
        <x:v>Standard</x:v>
      </x:c>
      <x:c r="F20" s="8" t="str">
        <x:v>Standard</x:v>
      </x:c>
      <x:c r="G20" s="8" t="str">
        <x:v>Pass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7" customHeight="1">
      <x:c r="A21" s="8" t="str">
        <x:v>TC013</x:v>
      </x:c>
      <x:c r="B21" s="26" t="n">
        <x:v>42</x:v>
      </x:c>
      <x:c r="C21" s="26" t="n">
        <x:v>130</x:v>
      </x:c>
      <x:c r="D21" s="26" t="n">
        <x:v>30</x:v>
      </x:c>
      <x:c r="E21" s="18" t="str">
        <x:v>Standard</x:v>
      </x:c>
      <x:c r="F21" s="8" t="str">
        <x:v>Standard</x:v>
      </x:c>
      <x:c r="G21" s="8" t="str">
        <x:v>Pass</x:v>
      </x:c>
      <x:c r="H21" s="1"/>
      <x:c r="I21" s="1"/>
      <x:c r="J21" s="15"/>
      <x:c r="K21" s="15"/>
      <x:c r="L21" s="15"/>
      <x:c r="M21" s="15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7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5"/>
      <x:c r="K22" s="15"/>
      <x:c r="L22" s="15"/>
      <x:c r="M22" s="15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7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5"/>
      <x:c r="K23" s="15"/>
      <x:c r="L23" s="15"/>
      <x:c r="M23" s="15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7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5"/>
      <x:c r="K24" s="15"/>
      <x:c r="L24" s="15"/>
      <x:c r="M24" s="15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5"/>
      <x:c r="K25" s="15"/>
      <x:c r="L25" s="15"/>
      <x:c r="M25" s="15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7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5"/>
      <x:c r="K26" s="15"/>
      <x:c r="L26" s="15"/>
      <x:c r="M26" s="15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7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5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7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5"/>
      <x:c r="K28" s="15"/>
      <x:c r="L28" s="15"/>
      <x:c r="M28" s="15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7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7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7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7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7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7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7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7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7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7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7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7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7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7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7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7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7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27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27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27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27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27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27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27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27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27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27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27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27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27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27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27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27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27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27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27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27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27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27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27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27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27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27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27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27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27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27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27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27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27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27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27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27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27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27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27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27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27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27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27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27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27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27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27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27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27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27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27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27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27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27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27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27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27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27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27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27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27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27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27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27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27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27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27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27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27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27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27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27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27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27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27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27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27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27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27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27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27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27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27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27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27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27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27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27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27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27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27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27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27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27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27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27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27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27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27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27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27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27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27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27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27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27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27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27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27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27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27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27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27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27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27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27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27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27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27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27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27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27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27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27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27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27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27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27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27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27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27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27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27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27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27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27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27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27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27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27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27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27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27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27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27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27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27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27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27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27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27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27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27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27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27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27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27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27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27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27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27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27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27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27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27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27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27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27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27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27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27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27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27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27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27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27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27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27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27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27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27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27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27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27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27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27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27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27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27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27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27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27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27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27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27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27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27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27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27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27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27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27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27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27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27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27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27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27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27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27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27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27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27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27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27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27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27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27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27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27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27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27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27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27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27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27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27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27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27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27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27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27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27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27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27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27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27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27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27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27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27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27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27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27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27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27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27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27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27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27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27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27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27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27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27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27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27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27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27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27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27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27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27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27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27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27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27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27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27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27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27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27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27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27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27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27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27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27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27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27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27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27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27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27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27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27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27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27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27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27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27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27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27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27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27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27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27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27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27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27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27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27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27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27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27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27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27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27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27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27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27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27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27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27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27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27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27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27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27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27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27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27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27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27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27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27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27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27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27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27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27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27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27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27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27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27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27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27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27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27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27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27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27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27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27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27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27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27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27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27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27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27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27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27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27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27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27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27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27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27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27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27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27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27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27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27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27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27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27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27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27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27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27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27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27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27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27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27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27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27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27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27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27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27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27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27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27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27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27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27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27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27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27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27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27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27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27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27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27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27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27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27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27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27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27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27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27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27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27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27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27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27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27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27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27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27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27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27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27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27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27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27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27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27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27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27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27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27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27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27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27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27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27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27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27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27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27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27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27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27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27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27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27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27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27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27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27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27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27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27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27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27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27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27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27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27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27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27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27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27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27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27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27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27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27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27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27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27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27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27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27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27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27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27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27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27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27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27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27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27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27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27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27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27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27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27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27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27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27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27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27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27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27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27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27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27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27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27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27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27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27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27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27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27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27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27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27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27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27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27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27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27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27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27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27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27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27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27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27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27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27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27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27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27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27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27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27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27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27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27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27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27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27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27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27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27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27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27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27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27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27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27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27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27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27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27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27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27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27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27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27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27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27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27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27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27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27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27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27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27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27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27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27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27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27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27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27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27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27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27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27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27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27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27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27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27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27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27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27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27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27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27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27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27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27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27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27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27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27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27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27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27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27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27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27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27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27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27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27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27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27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27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27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27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27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27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27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27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27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27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27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27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27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27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27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27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27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27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27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27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27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27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27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27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27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27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27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27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27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27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27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27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27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27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27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27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27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27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27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27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27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27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27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27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ht="27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ht="27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ht="27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ht="27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ht="27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ht="27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ht="27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ht="27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ht="27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ht="27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ht="27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ht="27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ht="27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ht="27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ht="27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ht="27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ht="27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ht="27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ht="27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ht="27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ht="27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ht="27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ht="27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ht="27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ht="27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ht="27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ht="27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ht="27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ht="27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ht="27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ht="27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ht="27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ht="27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ht="27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ht="27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ht="27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ht="27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ht="27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ht="27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ht="27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ht="27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ht="27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ht="27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ht="27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ht="27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ht="27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ht="27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ht="27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ht="27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ht="27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ht="27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ht="27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ht="27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ht="27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ht="27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ht="27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ht="27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ht="27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ht="27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ht="27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ht="27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ht="27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ht="27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ht="27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ht="27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ht="27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ht="27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ht="27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ht="27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ht="27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ht="27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ht="27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ht="27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ht="27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ht="27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ht="27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ht="27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ht="27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ht="27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ht="27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ht="27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ht="27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ht="27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ht="27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ht="27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ht="27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ht="27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ht="27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ht="27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ht="27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ht="27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ht="27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ht="27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ht="27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ht="27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ht="27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ht="27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ht="27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ht="27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ht="27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ht="27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ht="27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ht="27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ht="27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ht="27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ht="27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ht="27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ht="27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ht="27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ht="27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ht="27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ht="27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ht="27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ht="27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ht="27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ht="27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ht="27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ht="27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ht="27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ht="27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ht="27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ht="27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ht="27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ht="27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ht="27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ht="27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ht="27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ht="27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ht="27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ht="27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ht="27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ht="27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ht="27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ht="27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ht="27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ht="27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ht="27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ht="27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ht="27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ht="27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ht="27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ht="27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ht="27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ht="27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ht="27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ht="27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ht="27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ht="27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ht="27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ht="27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ht="27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ht="27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ht="27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ht="27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ht="27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ht="27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ht="27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ht="27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ht="27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ht="27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ht="27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ht="27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ht="27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ht="27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ht="27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ht="27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ht="27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ht="27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ht="27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ht="27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ht="27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ht="27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ht="27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ht="27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ht="27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ht="27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ht="27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ht="27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ht="27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ht="27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ht="27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ht="27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ht="27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ht="27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ht="27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ht="27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ht="27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ht="27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ht="27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ht="27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ht="27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ht="27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ht="27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ht="27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ht="27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ht="27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ht="27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ht="27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ht="27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ht="27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ht="27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ht="27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ht="27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ht="27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ht="27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ht="27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ht="27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ht="27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ht="27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ht="27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ht="27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ht="27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ht="27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ht="27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ht="27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ht="27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ht="27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ht="27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ht="27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ht="27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ht="27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ht="27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ht="27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ht="27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ht="27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ht="27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ht="27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ht="27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ht="27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ht="27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ht="27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ht="27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ht="27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ht="27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ht="27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ht="27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ht="27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ht="27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ht="27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ht="27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ht="27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ht="27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ht="27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ht="27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ht="27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ht="27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ht="27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ht="27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ht="27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ht="27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ht="27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ht="27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ht="27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ht="27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ht="27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ht="27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ht="27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ht="27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ht="27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ht="27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ht="27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ht="27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ht="27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ht="27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ht="27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ht="27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ht="27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ht="27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ht="27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ht="27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ht="27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ht="27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ht="27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ht="27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ht="27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ht="27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ht="27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ht="27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ht="27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ht="27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ht="27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ht="27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ht="27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ht="27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ht="27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ht="27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ht="27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ht="27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ht="27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ht="27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ht="27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ht="27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ht="27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ht="27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ht="27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ht="27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ht="27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ht="27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ht="27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ht="27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ht="27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ht="27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ht="27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ht="27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ht="27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ht="27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ht="27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ht="27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ht="27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ht="27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F7:F8"/>
    <x:mergeCell ref="G7:G8"/>
    <x:mergeCell ref="A1:G1"/>
    <x:mergeCell ref="B3:E3"/>
    <x:mergeCell ref="B4:E4"/>
    <x:mergeCell ref="B5:E5"/>
    <x:mergeCell ref="A7:A8"/>
    <x:mergeCell ref="B7:D7"/>
    <x:mergeCell ref="E7:E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220000267028809" defaultRowHeight="15"/>
  <x:cols>
    <x:col min="1" max="1" width="20.5" hidden="0" customWidth="1"/>
    <x:col min="2" max="4" width="21.329999923706055" customWidth="1"/>
    <x:col min="5" max="5" width="31" hidden="0" customWidth="1"/>
    <x:col min="6" max="6" width="31" hidden="0" customWidth="1"/>
    <x:col min="7" max="7" width="25.110000610351562" customWidth="1"/>
    <x:col min="8" max="10" width="10.779999732971191" customWidth="1"/>
    <x:col min="11" max="11" width="15.329999923706055" customWidth="1"/>
    <x:col min="12" max="12" width="10.779999732971191" customWidth="1"/>
    <x:col min="13" max="13" width="16.440000534057617" customWidth="1"/>
    <x:col min="14" max="26" width="10.5600004196167" customWidth="1"/>
  </x:cols>
  <x:sheetData>
    <x:row r="1" ht="27" customHeight="1">
      <x:c r="A1" s="12" t="s">
        <x:v>10</x:v>
      </x:c>
      <x:c r="B1" s="13"/>
      <x:c r="C1" s="13"/>
      <x:c r="D1" s="13"/>
      <x:c r="E1" s="13"/>
      <x:c r="F1" s="13"/>
      <x:c r="G1" s="14"/>
      <x:c r="H1" s="1"/>
      <x:c r="I1" s="1"/>
      <x:c r="J1" s="15"/>
      <x:c r="K1" s="16" t="str">
        <x:v>VO2 Max</x:v>
      </x:c>
      <x:c r="L1" s="16" t="str">
        <x:v>RHR</x:v>
      </x:c>
      <x:c r="M1" s="16" t="str">
        <x:v>HRR</x:v>
      </x:c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7" customHeight="1">
      <x:c r="A2" s="1"/>
      <x:c r="B2" s="1"/>
      <x:c r="C2" s="1"/>
      <x:c r="D2" s="1"/>
      <x:c r="E2" s="1"/>
      <x:c r="F2" s="1"/>
      <x:c r="G2" s="17"/>
      <x:c r="H2" s="1"/>
      <x:c r="I2" s="1"/>
      <x:c r="J2" s="6" t="str">
        <x:v>min-</x:v>
      </x:c>
      <x:c r="K2" s="8" t="n">
        <x:v>24</x:v>
      </x:c>
      <x:c r="L2" s="8" t="n">
        <x:v>39</x:v>
      </x:c>
      <x:c r="M2" s="8" t="n">
        <x:v>11</x:v>
      </x:c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7" customHeight="1">
      <x:c r="A3" s="19" t="s">
        <x:v>15</x:v>
      </x:c>
      <x:c r="B3" s="20" t="s">
        <x:v>36</x:v>
      </x:c>
      <x:c r="C3" s="13"/>
      <x:c r="D3" s="13"/>
      <x:c r="E3" s="13"/>
      <x:c r="F3" s="19" t="s">
        <x:v>17</x:v>
      </x:c>
      <x:c r="G3" s="8" t="str">
        <x:v>673380061-4</x:v>
      </x:c>
      <x:c r="H3" s="1"/>
      <x:c r="I3" s="1"/>
      <x:c r="J3" s="6" t="str">
        <x:v>min</x:v>
      </x:c>
      <x:c r="K3" s="8" t="n">
        <x:v>25</x:v>
      </x:c>
      <x:c r="L3" s="8" t="n">
        <x:v>40</x:v>
      </x:c>
      <x:c r="M3" s="8" t="n">
        <x:v>12</x:v>
      </x:c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7" customHeight="1">
      <x:c r="A4" s="19" t="s">
        <x:v>20</x:v>
      </x:c>
      <x:c r="B4" s="20" t="s">
        <x:v>37</x:v>
      </x:c>
      <x:c r="C4" s="13"/>
      <x:c r="D4" s="13"/>
      <x:c r="E4" s="13"/>
      <x:c r="F4" s="19" t="s">
        <x:v>22</x:v>
      </x:c>
      <x:c r="G4" s="8" t="str">
        <x:v>ศุภกร กรมรินทร์</x:v>
      </x:c>
      <x:c r="H4" s="1"/>
      <x:c r="I4" s="1"/>
      <x:c r="J4" s="6" t="str">
        <x:v>min+</x:v>
      </x:c>
      <x:c r="K4" s="8" t="n">
        <x:v>26</x:v>
      </x:c>
      <x:c r="L4" s="8" t="n">
        <x:v>41</x:v>
      </x:c>
      <x:c r="M4" s="8" t="n">
        <x:v>13</x:v>
      </x:c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7" customHeight="1">
      <x:c r="A5" s="21" t="s">
        <x:v>25</x:v>
      </x:c>
      <x:c r="B5" s="22" t="str">
        <x:v>Windows 11 / Java 26.0.1 / JUnit 6.1.1 / Maven 3.9.16</x:v>
      </x:c>
      <x:c r="C5" s="13"/>
      <x:c r="D5" s="13"/>
      <x:c r="E5" s="14"/>
      <x:c r="F5" s="19" t="s">
        <x:v>26</x:v>
      </x:c>
      <x:c r="G5" s="33" t="n">
        <x:v>46224</x:v>
      </x:c>
      <x:c r="H5" s="1"/>
      <x:c r="I5" s="1"/>
      <x:c r="J5" s="6" t="str">
        <x:v>nom</x:v>
      </x:c>
      <x:c r="K5" s="8" t="n">
        <x:v>42</x:v>
      </x:c>
      <x:c r="L5" s="8" t="n">
        <x:v>130</x:v>
      </x:c>
      <x:c r="M5" s="8" t="n">
        <x:v>21</x:v>
      </x:c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7" customHeight="1">
      <x:c r="A6" s="1"/>
      <x:c r="B6" s="1"/>
      <x:c r="C6" s="1"/>
      <x:c r="D6" s="1"/>
      <x:c r="E6" s="1"/>
      <x:c r="F6" s="1"/>
      <x:c r="G6" s="1"/>
      <x:c r="H6" s="1"/>
      <x:c r="I6" s="1"/>
      <x:c r="J6" s="6" t="str">
        <x:v>max-</x:v>
      </x:c>
      <x:c r="K6" s="8" t="n">
        <x:v>59</x:v>
      </x:c>
      <x:c r="L6" s="8" t="n">
        <x:v>219</x:v>
      </x:c>
      <x:c r="M6" s="8" t="n">
        <x:v>29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4.75" customHeight="1">
      <x:c r="A7" s="23" t="s">
        <x:v>29</x:v>
      </x:c>
      <x:c r="B7" s="22" t="s">
        <x:v>30</x:v>
      </x:c>
      <x:c r="C7" s="13"/>
      <x:c r="D7" s="14"/>
      <x:c r="E7" s="23" t="s">
        <x:v>31</x:v>
      </x:c>
      <x:c r="F7" s="23" t="s">
        <x:v>32</x:v>
      </x:c>
      <x:c r="G7" s="24" t="s">
        <x:v>33</x:v>
      </x:c>
      <x:c r="H7" s="1"/>
      <x:c r="I7" s="1"/>
      <x:c r="J7" s="6" t="str">
        <x:v>max</x:v>
      </x:c>
      <x:c r="K7" s="8" t="n">
        <x:v>60</x:v>
      </x:c>
      <x:c r="L7" s="8" t="n">
        <x:v>220</x:v>
      </x:c>
      <x:c r="M7" s="8" t="n">
        <x:v>30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7" customHeight="1">
      <x:c r="A8" s="25"/>
      <x:c r="B8" s="16" t="s">
        <x:v>11</x:v>
      </x:c>
      <x:c r="C8" s="16" t="s">
        <x:v>12</x:v>
      </x:c>
      <x:c r="D8" s="16" t="s">
        <x:v>13</x:v>
      </x:c>
      <x:c r="E8" s="25"/>
      <x:c r="F8" s="25"/>
      <x:c r="G8" s="25"/>
      <x:c r="H8" s="1"/>
      <x:c r="I8" s="1"/>
      <x:c r="J8" s="6" t="str">
        <x:v>max+</x:v>
      </x:c>
      <x:c r="K8" s="8" t="n">
        <x:v>61</x:v>
      </x:c>
      <x:c r="L8" s="8" t="n">
        <x:v>221</x:v>
      </x:c>
      <x:c r="M8" s="8" t="n">
        <x:v>31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7" customHeight="1">
      <x:c r="A9" s="8" t="str">
        <x:v>TC001</x:v>
      </x:c>
      <x:c r="B9" s="8" t="n">
        <x:v>42</x:v>
      </x:c>
      <x:c r="C9" s="8" t="n">
        <x:v>130</x:v>
      </x:c>
      <x:c r="D9" s="8" t="n">
        <x:v>21</x:v>
      </x:c>
      <x:c r="E9" s="35" t="str">
        <x:v>Standard</x:v>
      </x:c>
      <x:c r="F9" s="8" t="str">
        <x:v>Standard</x:v>
      </x:c>
      <x:c r="G9" s="8" t="str">
        <x:v>Pass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7" customHeight="1">
      <x:c r="A10" s="8" t="str">
        <x:v>TC002</x:v>
      </x:c>
      <x:c r="B10" s="8" t="n">
        <x:v>24</x:v>
      </x:c>
      <x:c r="C10" s="8" t="n">
        <x:v>130</x:v>
      </x:c>
      <x:c r="D10" s="8" t="n">
        <x:v>21</x:v>
      </x:c>
      <x:c r="E10" s="8" t="str">
        <x:v>Poor</x:v>
      </x:c>
      <x:c r="F10" s="8" t="str">
        <x:v>Poor</x:v>
      </x:c>
      <x:c r="G10" s="8" t="str">
        <x:v>Pass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7" customHeight="1">
      <x:c r="A11" s="8" t="str">
        <x:v>TC003</x:v>
      </x:c>
      <x:c r="B11" s="8" t="n">
        <x:v>25</x:v>
      </x:c>
      <x:c r="C11" s="8" t="n">
        <x:v>130</x:v>
      </x:c>
      <x:c r="D11" s="8" t="n">
        <x:v>21</x:v>
      </x:c>
      <x:c r="E11" s="8" t="str">
        <x:v>Standard</x:v>
      </x:c>
      <x:c r="F11" s="8" t="str">
        <x:v>Standard</x:v>
      </x:c>
      <x:c r="G11" s="8" t="str">
        <x:v>Pass</x:v>
      </x:c>
      <x:c r="H11" s="1"/>
      <x:c r="I11" s="1"/>
      <x:c r="J11" s="15"/>
      <x:c r="K11" s="15"/>
      <x:c r="L11" s="15"/>
      <x:c r="M11" s="15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7" customHeight="1">
      <x:c r="A12" s="8" t="str">
        <x:v>TC004</x:v>
      </x:c>
      <x:c r="B12" s="8" t="n">
        <x:v>26</x:v>
      </x:c>
      <x:c r="C12" s="8" t="n">
        <x:v>130</x:v>
      </x:c>
      <x:c r="D12" s="8" t="n">
        <x:v>21</x:v>
      </x:c>
      <x:c r="E12" s="8" t="str">
        <x:v>Standard</x:v>
      </x:c>
      <x:c r="F12" s="8" t="str">
        <x:v>Standard</x:v>
      </x:c>
      <x:c r="G12" s="8" t="str">
        <x:v>Pass</x:v>
      </x:c>
      <x:c r="H12" s="1"/>
      <x:c r="I12" s="1"/>
      <x:c r="J12" s="15"/>
      <x:c r="K12" s="15"/>
      <x:c r="L12" s="15"/>
      <x:c r="M12" s="15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7" customHeight="1">
      <x:c r="A13" s="8" t="str">
        <x:v>TC005</x:v>
      </x:c>
      <x:c r="B13" s="8" t="n">
        <x:v>59</x:v>
      </x:c>
      <x:c r="C13" s="8" t="n">
        <x:v>130</x:v>
      </x:c>
      <x:c r="D13" s="8" t="n">
        <x:v>21</x:v>
      </x:c>
      <x:c r="E13" s="8" t="str">
        <x:v>Standard</x:v>
      </x:c>
      <x:c r="F13" s="8" t="str">
        <x:v>Standard</x:v>
      </x:c>
      <x:c r="G13" s="8" t="str">
        <x:v>Pass</x:v>
      </x:c>
      <x:c r="H13" s="1"/>
      <x:c r="I13" s="1"/>
      <x:c r="J13" s="15"/>
      <x:c r="K13" s="15"/>
      <x:c r="L13" s="15"/>
      <x:c r="M13" s="15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7" customHeight="1">
      <x:c r="A14" s="8" t="str">
        <x:v>TC006</x:v>
      </x:c>
      <x:c r="B14" s="8" t="n">
        <x:v>60</x:v>
      </x:c>
      <x:c r="C14" s="8" t="n">
        <x:v>130</x:v>
      </x:c>
      <x:c r="D14" s="8" t="n">
        <x:v>21</x:v>
      </x:c>
      <x:c r="E14" s="8" t="str">
        <x:v>Standard</x:v>
      </x:c>
      <x:c r="F14" s="8" t="str">
        <x:v>Standard</x:v>
      </x:c>
      <x:c r="G14" s="8" t="str">
        <x:v>Pass</x:v>
      </x:c>
      <x:c r="H14" s="1"/>
      <x:c r="I14" s="1"/>
      <x:c r="J14" s="15"/>
      <x:c r="K14" s="15"/>
      <x:c r="L14" s="15"/>
      <x:c r="M14" s="15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7" customHeight="1">
      <x:c r="A15" s="8" t="str">
        <x:v>TC007</x:v>
      </x:c>
      <x:c r="B15" s="8" t="n">
        <x:v>61</x:v>
      </x:c>
      <x:c r="C15" s="8" t="n">
        <x:v>130</x:v>
      </x:c>
      <x:c r="D15" s="8" t="n">
        <x:v>21</x:v>
      </x:c>
      <x:c r="E15" s="8" t="str">
        <x:v>Standard</x:v>
      </x:c>
      <x:c r="F15" s="8" t="str">
        <x:v>Standard</x:v>
      </x:c>
      <x:c r="G15" s="8" t="str">
        <x:v>Pass</x:v>
      </x:c>
      <x:c r="H15" s="1"/>
      <x:c r="I15" s="1"/>
      <x:c r="J15" s="15"/>
      <x:c r="K15" s="15"/>
      <x:c r="L15" s="15"/>
      <x:c r="M15" s="15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7" customHeight="1">
      <x:c r="A16" s="8" t="str">
        <x:v>TC008</x:v>
      </x:c>
      <x:c r="B16" s="8" t="n">
        <x:v>42</x:v>
      </x:c>
      <x:c r="C16" s="8" t="n">
        <x:v>39</x:v>
      </x:c>
      <x:c r="D16" s="8" t="n">
        <x:v>21</x:v>
      </x:c>
      <x:c r="E16" s="34" t="str">
        <x:v>IllegalArgumentException</x:v>
      </x:c>
      <x:c r="F16" s="34" t="str">
        <x:v>IllegalArgumentException</x:v>
      </x:c>
      <x:c r="G16" s="8" t="str">
        <x:v>Pass</x:v>
      </x:c>
      <x:c r="H16" s="1"/>
      <x:c r="I16" s="1"/>
      <x:c r="J16" s="15"/>
      <x:c r="K16" s="15"/>
      <x:c r="L16" s="15"/>
      <x:c r="M16" s="15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7" customHeight="1">
      <x:c r="A17" s="8" t="str">
        <x:v>TC009</x:v>
      </x:c>
      <x:c r="B17" s="8" t="n">
        <x:v>42</x:v>
      </x:c>
      <x:c r="C17" s="8" t="n">
        <x:v>40</x:v>
      </x:c>
      <x:c r="D17" s="8" t="n">
        <x:v>21</x:v>
      </x:c>
      <x:c r="E17" s="8" t="str">
        <x:v>Excellent</x:v>
      </x:c>
      <x:c r="F17" s="8" t="str">
        <x:v>Excellent</x:v>
      </x:c>
      <x:c r="G17" s="8" t="str">
        <x:v>Pass</x:v>
      </x:c>
      <x:c r="H17" s="1"/>
      <x:c r="I17" s="1"/>
      <x:c r="J17" s="15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7" customHeight="1">
      <x:c r="A18" s="8" t="str">
        <x:v>TC010</x:v>
      </x:c>
      <x:c r="B18" s="8" t="n">
        <x:v>42</x:v>
      </x:c>
      <x:c r="C18" s="8" t="n">
        <x:v>41</x:v>
      </x:c>
      <x:c r="D18" s="8" t="n">
        <x:v>21</x:v>
      </x:c>
      <x:c r="E18" s="8" t="str">
        <x:v>Excellent</x:v>
      </x:c>
      <x:c r="F18" s="8" t="str">
        <x:v>Excellent</x:v>
      </x:c>
      <x:c r="G18" s="8" t="str">
        <x:v>Pass</x:v>
      </x:c>
      <x:c r="H18" s="1"/>
      <x:c r="I18" s="1"/>
      <x:c r="J18" s="15"/>
      <x:c r="K18" s="15"/>
      <x:c r="L18" s="15"/>
      <x:c r="M18" s="15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7" customHeight="1">
      <x:c r="A19" s="8" t="str">
        <x:v>TC011</x:v>
      </x:c>
      <x:c r="B19" s="8" t="n">
        <x:v>42</x:v>
      </x:c>
      <x:c r="C19" s="8" t="n">
        <x:v>219</x:v>
      </x:c>
      <x:c r="D19" s="8" t="n">
        <x:v>21</x:v>
      </x:c>
      <x:c r="E19" s="8" t="str">
        <x:v>Standard</x:v>
      </x:c>
      <x:c r="F19" s="8" t="str">
        <x:v>Standard</x:v>
      </x:c>
      <x:c r="G19" s="8" t="str">
        <x:v>Pass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7" customHeight="1">
      <x:c r="A20" s="8" t="str">
        <x:v>TC012</x:v>
      </x:c>
      <x:c r="B20" s="8" t="n">
        <x:v>42</x:v>
      </x:c>
      <x:c r="C20" s="8" t="n">
        <x:v>220</x:v>
      </x:c>
      <x:c r="D20" s="8" t="n">
        <x:v>21</x:v>
      </x:c>
      <x:c r="E20" s="8" t="str">
        <x:v>Standard</x:v>
      </x:c>
      <x:c r="F20" s="8" t="str">
        <x:v>Standard</x:v>
      </x:c>
      <x:c r="G20" s="8" t="str">
        <x:v>Pass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7" customHeight="1">
      <x:c r="A21" s="28" t="str">
        <x:v>TC013</x:v>
      </x:c>
      <x:c r="B21" s="28" t="n">
        <x:v>42</x:v>
      </x:c>
      <x:c r="C21" s="28" t="n">
        <x:v>221</x:v>
      </x:c>
      <x:c r="D21" s="28" t="n">
        <x:v>21</x:v>
      </x:c>
      <x:c r="E21" s="34" t="str">
        <x:v>IllegalArgumentException</x:v>
      </x:c>
      <x:c r="F21" s="34" t="str">
        <x:v>IllegalArgumentException</x:v>
      </x:c>
      <x:c r="G21" s="8" t="str">
        <x:v>Pass</x:v>
      </x:c>
      <x:c r="H21" s="1"/>
      <x:c r="I21" s="1"/>
      <x:c r="J21" s="15"/>
      <x:c r="K21" s="15"/>
      <x:c r="L21" s="15"/>
      <x:c r="M21" s="15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7" customHeight="1">
      <x:c r="A22" s="8" t="str">
        <x:v>TC014</x:v>
      </x:c>
      <x:c r="B22" s="8" t="n">
        <x:v>42</x:v>
      </x:c>
      <x:c r="C22" s="8" t="n">
        <x:v>130</x:v>
      </x:c>
      <x:c r="D22" s="8" t="n">
        <x:v>11</x:v>
      </x:c>
      <x:c r="E22" s="8" t="str">
        <x:v>Poor</x:v>
      </x:c>
      <x:c r="F22" s="8" t="str">
        <x:v>Poor</x:v>
      </x:c>
      <x:c r="G22" s="8" t="str">
        <x:v>Pass</x:v>
      </x:c>
      <x:c r="H22" s="1"/>
      <x:c r="I22" s="1"/>
      <x:c r="J22" s="15"/>
      <x:c r="K22" s="15"/>
      <x:c r="L22" s="15"/>
      <x:c r="M22" s="15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7" customHeight="1">
      <x:c r="A23" s="8" t="str">
        <x:v>TC015</x:v>
      </x:c>
      <x:c r="B23" s="8" t="n">
        <x:v>42</x:v>
      </x:c>
      <x:c r="C23" s="8" t="n">
        <x:v>130</x:v>
      </x:c>
      <x:c r="D23" s="8" t="n">
        <x:v>12</x:v>
      </x:c>
      <x:c r="E23" s="8" t="str">
        <x:v>Standard</x:v>
      </x:c>
      <x:c r="F23" s="8" t="str">
        <x:v>Standard</x:v>
      </x:c>
      <x:c r="G23" s="8" t="str">
        <x:v>Pass</x:v>
      </x:c>
      <x:c r="H23" s="1"/>
      <x:c r="I23" s="1"/>
      <x:c r="J23" s="15"/>
      <x:c r="K23" s="15"/>
      <x:c r="L23" s="15"/>
      <x:c r="M23" s="15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7" customHeight="1">
      <x:c r="A24" s="8" t="str">
        <x:v>TC016</x:v>
      </x:c>
      <x:c r="B24" s="8" t="n">
        <x:v>42</x:v>
      </x:c>
      <x:c r="C24" s="8" t="n">
        <x:v>130</x:v>
      </x:c>
      <x:c r="D24" s="8" t="n">
        <x:v>13</x:v>
      </x:c>
      <x:c r="E24" s="8" t="str">
        <x:v>Standard</x:v>
      </x:c>
      <x:c r="F24" s="8" t="str">
        <x:v>Standard</x:v>
      </x:c>
      <x:c r="G24" s="8" t="str">
        <x:v>Pass</x:v>
      </x:c>
      <x:c r="H24" s="1"/>
      <x:c r="I24" s="1"/>
      <x:c r="J24" s="15"/>
      <x:c r="K24" s="15"/>
      <x:c r="L24" s="15"/>
      <x:c r="M24" s="15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7" customHeight="1">
      <x:c r="A25" s="8" t="str">
        <x:v>TC017</x:v>
      </x:c>
      <x:c r="B25" s="8" t="n">
        <x:v>42</x:v>
      </x:c>
      <x:c r="C25" s="8" t="n">
        <x:v>130</x:v>
      </x:c>
      <x:c r="D25" s="8" t="n">
        <x:v>29</x:v>
      </x:c>
      <x:c r="E25" s="8" t="str">
        <x:v>Standard</x:v>
      </x:c>
      <x:c r="F25" s="8" t="str">
        <x:v>Standard</x:v>
      </x:c>
      <x:c r="G25" s="8" t="str">
        <x:v>Pass</x:v>
      </x:c>
      <x:c r="H25" s="1"/>
      <x:c r="I25" s="1"/>
      <x:c r="J25" s="15"/>
      <x:c r="K25" s="15"/>
      <x:c r="L25" s="15"/>
      <x:c r="M25" s="15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7" customHeight="1">
      <x:c r="A26" s="8" t="str">
        <x:v>TC018</x:v>
      </x:c>
      <x:c r="B26" s="8" t="n">
        <x:v>42</x:v>
      </x:c>
      <x:c r="C26" s="8" t="n">
        <x:v>130</x:v>
      </x:c>
      <x:c r="D26" s="8" t="n">
        <x:v>30</x:v>
      </x:c>
      <x:c r="E26" s="8" t="str">
        <x:v>Standard</x:v>
      </x:c>
      <x:c r="F26" s="8" t="str">
        <x:v>Standard</x:v>
      </x:c>
      <x:c r="G26" s="8" t="str">
        <x:v>Pass</x:v>
      </x:c>
      <x:c r="H26" s="1"/>
      <x:c r="I26" s="1"/>
      <x:c r="J26" s="15"/>
      <x:c r="K26" s="15"/>
      <x:c r="L26" s="15"/>
      <x:c r="M26" s="15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7" customHeight="1">
      <x:c r="A27" s="8" t="str">
        <x:v>TC019</x:v>
      </x:c>
      <x:c r="B27" s="8" t="n">
        <x:v>42</x:v>
      </x:c>
      <x:c r="C27" s="8" t="n">
        <x:v>130</x:v>
      </x:c>
      <x:c r="D27" s="8" t="n">
        <x:v>31</x:v>
      </x:c>
      <x:c r="E27" s="8" t="str">
        <x:v>Standard</x:v>
      </x:c>
      <x:c r="F27" s="8" t="str">
        <x:v>Standard</x:v>
      </x:c>
      <x:c r="G27" s="8" t="str">
        <x:v>Pass</x:v>
      </x:c>
      <x:c r="H27" s="1"/>
      <x:c r="I27" s="1"/>
      <x:c r="J27" s="15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7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5"/>
      <x:c r="K28" s="15"/>
      <x:c r="L28" s="15"/>
      <x:c r="M28" s="15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7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7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7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7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7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7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7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7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7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7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7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7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7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7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7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7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7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27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27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27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27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27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27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27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27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27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27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27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27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27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27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27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27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27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27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27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27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27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27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27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27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27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27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27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27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27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27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27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27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27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27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27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27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27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27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27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27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27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27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27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27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27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27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27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27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27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27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27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27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27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27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27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27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27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27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27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27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27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27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27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27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27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27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27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27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27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27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27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27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27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27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27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27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27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27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27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27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27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27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27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27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27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27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27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27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27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27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27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27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27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27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27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27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27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27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27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27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27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27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27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27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27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27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27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27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27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27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27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27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27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27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27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27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27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27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27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27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27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27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27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27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27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27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27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27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27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27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27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27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27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27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27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27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27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27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27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27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27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27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27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27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27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27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27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27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27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27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27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27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27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27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27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27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27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27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27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27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27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27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27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27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27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27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27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27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27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27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27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27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27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27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27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27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27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27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27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27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27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27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27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27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27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27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27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27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27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27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27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27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27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27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27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27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27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27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27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27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27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27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27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27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27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27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27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27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27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27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27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27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27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27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27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27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27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27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27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27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27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27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27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27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27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27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27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27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27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27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27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27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27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27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27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27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27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27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27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27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27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27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27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27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27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27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27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27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27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27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27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27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27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27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27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27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27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27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27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27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27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27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27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27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27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27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27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27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27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27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27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27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27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27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27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27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27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27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27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27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27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27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27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27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27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27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27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27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27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27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27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27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27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27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27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27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27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27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27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27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27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27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27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27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27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27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27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27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27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27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27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27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27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27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27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27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27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27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27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27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27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27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27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27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27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27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27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27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27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27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27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27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27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27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27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27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27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27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27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27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27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27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27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27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27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27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27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27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27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27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27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27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27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27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27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27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27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27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27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27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27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27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27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27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27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27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27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27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27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27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27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27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27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27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27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27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27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27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27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27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27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27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27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27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27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27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27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27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27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27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27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27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27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27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27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27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27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27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27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27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27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27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27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27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27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27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27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27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27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27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27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27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27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27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27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27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27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27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27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27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27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27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27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27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27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27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27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27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27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27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27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27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27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27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27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27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27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27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27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27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27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27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27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27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27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27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27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27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27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27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27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27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27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27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27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27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27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27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27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27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27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27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27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27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27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27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27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27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27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27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27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27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27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27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27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27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27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27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27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27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27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27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27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27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27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27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27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27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27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27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27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27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27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27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27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27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27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27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27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27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27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27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27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27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27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27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27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27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27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27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27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27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27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27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27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27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27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27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27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27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27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27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27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27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27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27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27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27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27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27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27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27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27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27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27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27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27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27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27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27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27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27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27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27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27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27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27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27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27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27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27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27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27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27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27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27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27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27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27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27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27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27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27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27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27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27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27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27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27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27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27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27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27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27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27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27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27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27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27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27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27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27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27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27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27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27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27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27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27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27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27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27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27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27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27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27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27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27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27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27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27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27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27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27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27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27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27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27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27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27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27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27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27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27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27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27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27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27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27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27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27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27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27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27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27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27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27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27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27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27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27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27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27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27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27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27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27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27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27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27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27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27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27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27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ht="27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ht="27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ht="27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ht="27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ht="27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ht="27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ht="27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ht="27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ht="27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ht="27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ht="27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ht="27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ht="27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ht="27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ht="27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ht="27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ht="27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ht="27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ht="27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ht="27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ht="27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ht="27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ht="27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ht="27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ht="27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ht="27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ht="27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ht="27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ht="27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ht="27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ht="27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ht="27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ht="27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ht="27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ht="27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ht="27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ht="27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ht="27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ht="27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ht="27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ht="27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ht="27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ht="27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ht="27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ht="27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ht="27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ht="27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ht="27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ht="27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ht="27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ht="27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ht="27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ht="27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ht="27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ht="27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ht="27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ht="27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ht="27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ht="27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ht="27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ht="27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ht="27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ht="27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ht="27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ht="27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ht="27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ht="27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ht="27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ht="27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ht="27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ht="27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ht="27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ht="27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ht="27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ht="27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ht="27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ht="27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ht="27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ht="27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ht="27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ht="27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ht="27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ht="27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ht="27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ht="27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ht="27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ht="27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ht="27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ht="27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ht="27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ht="27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ht="27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ht="27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ht="27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ht="27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ht="27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ht="27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ht="27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ht="27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ht="27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ht="27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ht="27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ht="27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ht="27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ht="27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ht="27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ht="27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ht="27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ht="27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ht="27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ht="27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ht="27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ht="27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ht="27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ht="27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ht="27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ht="27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ht="27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ht="27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ht="27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ht="27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ht="27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ht="27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ht="27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ht="27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ht="27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ht="27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ht="27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ht="27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ht="27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ht="27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ht="27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ht="27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ht="27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ht="27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ht="27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ht="27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ht="27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ht="27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ht="27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ht="27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ht="27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ht="27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ht="27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ht="27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ht="27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ht="27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ht="27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ht="27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ht="27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ht="27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ht="27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ht="27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ht="27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ht="27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ht="27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ht="27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ht="27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ht="27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ht="27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ht="27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ht="27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ht="27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ht="27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ht="27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ht="27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ht="27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ht="27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ht="27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ht="27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ht="27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ht="27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ht="27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ht="27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ht="27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ht="27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ht="27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ht="27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ht="27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ht="27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ht="27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ht="27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ht="27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ht="27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ht="27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ht="27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ht="27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ht="27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ht="27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ht="27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ht="27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ht="27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ht="27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ht="27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ht="27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ht="27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ht="27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ht="27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ht="27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ht="27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ht="27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ht="27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ht="27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ht="27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ht="27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ht="27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ht="27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ht="27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ht="27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ht="27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ht="27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ht="27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ht="27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ht="27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ht="27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ht="27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ht="27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ht="27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ht="27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ht="27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ht="27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ht="27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ht="27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ht="27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ht="27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ht="27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ht="27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ht="27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ht="27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ht="27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ht="27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ht="27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ht="27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ht="27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ht="27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ht="27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ht="27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ht="27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ht="27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ht="27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ht="27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ht="27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ht="27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ht="27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ht="27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ht="27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ht="27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ht="27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ht="27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ht="27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ht="27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ht="27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ht="27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ht="27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ht="27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ht="27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ht="27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ht="27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ht="27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ht="27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ht="27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ht="27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ht="27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ht="27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ht="27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ht="27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ht="27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ht="27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ht="27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ht="27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ht="27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ht="27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ht="27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ht="27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ht="27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ht="27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ht="27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ht="27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ht="27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ht="27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ht="27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ht="27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ht="27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ht="27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ht="27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ht="27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ht="27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ht="27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ht="27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ht="27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ht="27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ht="27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ht="27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ht="27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ht="27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ht="27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ht="27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ht="27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ht="27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ht="27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ht="27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ht="27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ht="27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ht="27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ht="27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ht="27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ht="27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ht="27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ht="27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ht="27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mergeCells>
    <x:mergeCell ref="F7:F8"/>
    <x:mergeCell ref="G7:G8"/>
    <x:mergeCell ref="A1:G1"/>
    <x:mergeCell ref="B3:E3"/>
    <x:mergeCell ref="B4:E4"/>
    <x:mergeCell ref="B5:E5"/>
    <x:mergeCell ref="A7:A8"/>
    <x:mergeCell ref="B7:D7"/>
    <x:mergeCell ref="E7:E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1.220000267028809" defaultRowHeight="15"/>
  <x:cols>
    <x:col min="1" max="11" width="10.779999732971191" customWidth="1"/>
    <x:col min="12" max="26" width="10.5600004196167" customWidth="1"/>
  </x:cols>
  <x:sheetData>
    <x:row r="1" ht="27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42" customHeight="1">
      <x:c r="A2" s="36" t="s">
        <x:v>38</x:v>
      </x:c>
      <x:c r="B2" s="36" t="s">
        <x:v>39</x:v>
      </x:c>
      <x:c r="C2" s="36" t="s">
        <x:v>40</x:v>
      </x:c>
      <x:c r="D2" s="37" t="s">
        <x:v>41</x:v>
      </x:c>
      <x:c r="E2" s="36" t="s">
        <x:v>42</x:v>
      </x:c>
      <x:c r="F2" s="36" t="s">
        <x:v>43</x:v>
      </x:c>
      <x:c r="G2" s="36" t="s">
        <x:v>44</x:v>
      </x:c>
      <x:c r="H2" s="36" t="s">
        <x:v>45</x:v>
      </x:c>
      <x:c r="I2" s="36" t="s">
        <x:v>46</x:v>
      </x:c>
      <x:c r="J2" s="36" t="s">
        <x:v>47</x:v>
      </x:c>
      <x:c r="K2" s="36" t="s">
        <x:v>48</x:v>
      </x:c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7" customHeight="1">
      <x:c r="A3" s="31"/>
      <x:c r="B3" s="31"/>
      <x:c r="C3" s="31"/>
      <x:c r="D3" s="32"/>
      <x:c r="E3" s="31"/>
      <x:c r="F3" s="31"/>
      <x:c r="G3" s="31"/>
      <x:c r="H3" s="31"/>
      <x:c r="I3" s="31"/>
      <x:c r="J3" s="31"/>
      <x:c r="K3" s="3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7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7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7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7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7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7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7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7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7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7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7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7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7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7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7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7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7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7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7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7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7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7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7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7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7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7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7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7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27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27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27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27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27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27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27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27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7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7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7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7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27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27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27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27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27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27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27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27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27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27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27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27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27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27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27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27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27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27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27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27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27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27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27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27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27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27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27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27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27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27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27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27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27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27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27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27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27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27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27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27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27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27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27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27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27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27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27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27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27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27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27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27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27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27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27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27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27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27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27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27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27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27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27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27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27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27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27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27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27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27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27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27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27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27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27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27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27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27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27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27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27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27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27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27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27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27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27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27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27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27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27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27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27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27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27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27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27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27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27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27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27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27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27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27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27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27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27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27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27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27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27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27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27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27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27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27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27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27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27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27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27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27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27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27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27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27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27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27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27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27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27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27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27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27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27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27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27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27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27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27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27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27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27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27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27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27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27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27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27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27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27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27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27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27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27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27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27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27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27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27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27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27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27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27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27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27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27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27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27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27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27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27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27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27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27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27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27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27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27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27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27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27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27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27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27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27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27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27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27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27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27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27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27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27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27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27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27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27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27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27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27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27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27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27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27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27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27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27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27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27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27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27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27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27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27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27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27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27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27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27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27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27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27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27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27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27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27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27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27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27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27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27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27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27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27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27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27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27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27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27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27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27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27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27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27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27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27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27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27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27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27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27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27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27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27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27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27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27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27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27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27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27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27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27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27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27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27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27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27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27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27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27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27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27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27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27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27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27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27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27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27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27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27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27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27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27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27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27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27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27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27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27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27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27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27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27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27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27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27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27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27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27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27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27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27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27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27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27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27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27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27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27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27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27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27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27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27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27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27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27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27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27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27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27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27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27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27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27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27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27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27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27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27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27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27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27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27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27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27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27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27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27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27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27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27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27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27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27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27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27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27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27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27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27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27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27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27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27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27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27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27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27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27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27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27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27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27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27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27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27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27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27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27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27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27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27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27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27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27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27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27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27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27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27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27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27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27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27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27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27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27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27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27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27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27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27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27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27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27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27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27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27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27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27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27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27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27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27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27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27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27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27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27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27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27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27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27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27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27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27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27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27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27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27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27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27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27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27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27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27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27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27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27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27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27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27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27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27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27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27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27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27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27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27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27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27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27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27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27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27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27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27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27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27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27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27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27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27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27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27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27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27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27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27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27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27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27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27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27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27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27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27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27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27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27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27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27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27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27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27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27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27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27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27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27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27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27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27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27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27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27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27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27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27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27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27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27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27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27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27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27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27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27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27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27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27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27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27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27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27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27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27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27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27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27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27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27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27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27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27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27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27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27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27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27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27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27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27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27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27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27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27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27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27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27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27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27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27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27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27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27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27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27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27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27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27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27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27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27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27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27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27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27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27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27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27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27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27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27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27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27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27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27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27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27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27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27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27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27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27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27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27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27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27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27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27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27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27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27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27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27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27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27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27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27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27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27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27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27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27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27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27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27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27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27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27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27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27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27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27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27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27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27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27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27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27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27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27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27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27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27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27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27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27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27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27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27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27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27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27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27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27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27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27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27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27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27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27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27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27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27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27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27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27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27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27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27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27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27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27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27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27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27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27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27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ht="27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ht="27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ht="27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ht="27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ht="27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ht="27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ht="27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ht="27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ht="27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ht="27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ht="27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ht="27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ht="27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ht="27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ht="27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ht="27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ht="27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ht="27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ht="27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ht="27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ht="27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ht="27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ht="27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ht="27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ht="27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ht="27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ht="27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ht="27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ht="27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ht="27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ht="27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ht="27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ht="27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ht="27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ht="27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ht="27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ht="27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ht="27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ht="27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ht="27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ht="27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ht="27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ht="27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ht="27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ht="27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ht="27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ht="27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ht="27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ht="27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ht="27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ht="27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ht="27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ht="27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ht="27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ht="27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ht="27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ht="27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ht="27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ht="27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ht="27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ht="27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ht="27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ht="27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ht="27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ht="27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ht="27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ht="27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ht="27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ht="27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ht="27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ht="27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ht="27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ht="27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ht="27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ht="27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ht="27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ht="27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ht="27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ht="27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ht="27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ht="27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ht="27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ht="27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ht="27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ht="27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ht="27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ht="27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ht="27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ht="27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ht="27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ht="27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ht="27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ht="27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ht="27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ht="27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ht="27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ht="27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ht="27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ht="27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ht="27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ht="27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ht="27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ht="27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ht="27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ht="27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ht="27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ht="27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ht="27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ht="27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ht="27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ht="27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ht="27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ht="27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ht="27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ht="27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ht="27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ht="27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ht="27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ht="27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ht="27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ht="27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ht="27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ht="27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ht="27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ht="27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ht="27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ht="27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ht="27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ht="27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ht="27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ht="27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ht="27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ht="27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ht="27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ht="27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ht="27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ht="27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ht="27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ht="27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ht="27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ht="27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ht="27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ht="27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ht="27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ht="27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ht="27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ht="27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ht="27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ht="27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ht="27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ht="27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ht="27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ht="27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ht="27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ht="27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ht="27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ht="27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ht="27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ht="27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ht="27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ht="27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ht="27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ht="27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ht="27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ht="27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ht="27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ht="27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ht="27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ht="27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ht="27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ht="27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ht="27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ht="27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ht="27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ht="27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ht="27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ht="27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ht="27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ht="27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ht="27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ht="27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ht="27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ht="27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ht="27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ht="27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ht="27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ht="27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ht="27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ht="27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ht="27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ht="27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ht="27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ht="27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ht="27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ht="27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ht="27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ht="27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ht="27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ht="27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ht="27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ht="27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ht="27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ht="27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ht="27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ht="27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ht="27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ht="27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ht="27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ht="27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ht="27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ht="27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ht="27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ht="27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ht="27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ht="27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ht="27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ht="27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ht="27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ht="27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ht="27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ht="27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ht="27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ht="27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ht="27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ht="27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ht="27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ht="27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ht="27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ht="27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ht="27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ht="27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ht="27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ht="27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ht="27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ht="27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ht="27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ht="27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ht="27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ht="27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ht="27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ht="27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ht="27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ht="27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ht="27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ht="27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ht="27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ht="27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ht="27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ht="27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ht="27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ht="27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ht="27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ht="27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ht="27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ht="27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ht="27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ht="27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ht="27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ht="27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ht="27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ht="27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ht="27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ht="27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ht="27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ht="27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ht="27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ht="27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ht="27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ht="27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ht="27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ht="27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ht="27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ht="27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ht="27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ht="27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ht="27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ht="27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ht="27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ht="27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ht="27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ht="27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ht="27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ht="27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ht="27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ht="27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ht="27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ht="27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ht="27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ht="27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ht="27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ht="27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ht="27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ht="27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ht="27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ht="27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ht="27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ht="27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ht="27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ht="27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ht="27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ht="27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ht="27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ht="27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ht="27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ht="27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ht="27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ht="27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ht="27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ht="27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ht="27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</x:worksheet>
</file>